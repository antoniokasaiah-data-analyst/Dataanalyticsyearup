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saiahantonio\Documents\DataAnalyticsYearUp\week-1\Day_5\"/>
    </mc:Choice>
  </mc:AlternateContent>
  <xr:revisionPtr revIDLastSave="0" documentId="8_{4E18724C-F474-4508-AA62-EA4006ED7780}" xr6:coauthVersionLast="47" xr6:coauthVersionMax="47" xr10:uidLastSave="{00000000-0000-0000-0000-000000000000}"/>
  <bookViews>
    <workbookView xWindow="-110" yWindow="-110" windowWidth="19420" windowHeight="11500" xr2:uid="{64C6EEBC-B2BD-47A9-BB2B-55D76120BFAD}"/>
  </bookViews>
  <sheets>
    <sheet name="Responses" sheetId="17" r:id="rId1"/>
    <sheet name="Summary" sheetId="18" r:id="rId2"/>
    <sheet name="Likes" sheetId="19" r:id="rId3"/>
    <sheet name="Improvements" sheetId="20" r:id="rId4"/>
    <sheet name="Comments" sheetId="21" r:id="rId5"/>
  </sheets>
  <calcPr calcId="191028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7" l="1"/>
  <c r="D6" i="17"/>
  <c r="D2" i="17"/>
  <c r="D3" i="17"/>
  <c r="D4" i="17"/>
  <c r="D5" i="17"/>
  <c r="A2" i="18"/>
  <c r="A2" i="21" a="1"/>
  <c r="A2" i="21" s="1"/>
  <c r="B2" i="21" a="1"/>
  <c r="B2" i="21" s="1"/>
  <c r="A2" i="20" a="1"/>
  <c r="A2" i="20" s="1"/>
  <c r="B2" i="20" a="1"/>
  <c r="B2" i="20" s="1"/>
  <c r="A2" i="19" a="1"/>
  <c r="A2" i="19" s="1"/>
  <c r="B2" i="19" a="1"/>
  <c r="B2" i="19" s="1"/>
  <c r="B36" i="18"/>
  <c r="B35" i="18"/>
  <c r="B34" i="18"/>
  <c r="B29" i="18"/>
  <c r="B28" i="18"/>
  <c r="B27" i="18"/>
  <c r="B22" i="18"/>
  <c r="B21" i="18"/>
  <c r="B20" i="18"/>
  <c r="A13" i="18" a="1"/>
  <c r="A13" i="18" s="1"/>
  <c r="B13" i="18" a="1"/>
  <c r="B13" i="18" s="1"/>
  <c r="C13" i="18" a="1"/>
  <c r="C13" i="18" s="1"/>
  <c r="A6" i="18" a="1"/>
  <c r="A6" i="18" s="1"/>
  <c r="B6" i="18" a="1"/>
  <c r="B6" i="18" s="1"/>
  <c r="C6" i="18" a="1"/>
  <c r="C6" i="18" s="1"/>
  <c r="B2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<sst xmlns="http://schemas.openxmlformats.org/spreadsheetml/2006/main" count="103" uniqueCount="66">
  <si>
    <t>Id</t>
  </si>
  <si>
    <t>Start time</t>
  </si>
  <si>
    <t>Completion time</t>
  </si>
  <si>
    <t>Email</t>
  </si>
  <si>
    <t>Name</t>
  </si>
  <si>
    <t>Gender</t>
  </si>
  <si>
    <t>Relationship with Our Organization</t>
  </si>
  <si>
    <t>How often do you eat at The Door ?</t>
  </si>
  <si>
    <t>Should we add other Caribbean dishes to the menu ?</t>
  </si>
  <si>
    <t>What is your favorite dish on the menu ?</t>
  </si>
  <si>
    <t>How long have you been a customer at The Door ?</t>
  </si>
  <si>
    <t>On a scale from 1 - 5, rate your experience with Jamaican customer service. </t>
  </si>
  <si>
    <t>Which areas of our service could be improved?</t>
  </si>
  <si>
    <t>How often do you use restaurant reward apps ?</t>
  </si>
  <si>
    <t>dkabakibi@my.yearupunited.org</t>
  </si>
  <si>
    <t>dania kabakibi</t>
  </si>
  <si>
    <t>Female</t>
  </si>
  <si>
    <t>New customer</t>
  </si>
  <si>
    <t>Monthly</t>
  </si>
  <si>
    <t>Yes</t>
  </si>
  <si>
    <t>Rasta pasta &amp; shrimp</t>
  </si>
  <si>
    <t>Less than 1 year</t>
  </si>
  <si>
    <t>5</t>
  </si>
  <si>
    <t>The response time on technical tickets</t>
  </si>
  <si>
    <t>Weekly</t>
  </si>
  <si>
    <t>msantarin@my.yearupunited.org</t>
  </si>
  <si>
    <t>marenza santarin</t>
  </si>
  <si>
    <t>Never</t>
  </si>
  <si>
    <t>3</t>
  </si>
  <si>
    <t>Staff friendliness</t>
  </si>
  <si>
    <t>mblack@my.yearupunited.org</t>
  </si>
  <si>
    <t>maia black</t>
  </si>
  <si>
    <t>Non-binary/Other</t>
  </si>
  <si>
    <t>No</t>
  </si>
  <si>
    <t>Oxtail</t>
  </si>
  <si>
    <t>4</t>
  </si>
  <si>
    <t>ktyler@my.yearupunited.org</t>
  </si>
  <si>
    <t>kendra tyler</t>
  </si>
  <si>
    <t xml:space="preserve">Jerk chicken w/ Rice and peas </t>
  </si>
  <si>
    <t xml:space="preserve">The wait time </t>
  </si>
  <si>
    <t>Overall Satisfaction Rate (%)</t>
  </si>
  <si>
    <t>Response Count</t>
  </si>
  <si>
    <t>Overall Satisfaction by Gender</t>
  </si>
  <si>
    <t>Overall Satisfaction by Relationship</t>
  </si>
  <si>
    <t>Customer Support &amp; Interaction Breakdown</t>
  </si>
  <si>
    <t>Area</t>
  </si>
  <si>
    <t>Satisfaction Rate</t>
  </si>
  <si>
    <t>Responsiveness</t>
  </si>
  <si>
    <t>Resolution Timeliness</t>
  </si>
  <si>
    <t>Customer Valuation</t>
  </si>
  <si>
    <t>Ease of Doing Business Breakdown</t>
  </si>
  <si>
    <t>Navigation</t>
  </si>
  <si>
    <t>Ordering Process</t>
  </si>
  <si>
    <t>Information Accessibility</t>
  </si>
  <si>
    <t>Communication &amp; Transparency Breakdown</t>
  </si>
  <si>
    <t>Effective Communication</t>
  </si>
  <si>
    <t>Timely Updates</t>
  </si>
  <si>
    <t>Clarity of Information</t>
  </si>
  <si>
    <t>What did you like most about our service experience?</t>
  </si>
  <si>
    <t>Any additional suggestions for enhancing our service?</t>
  </si>
  <si>
    <t>Time Complete</t>
  </si>
  <si>
    <t>Row Labels</t>
  </si>
  <si>
    <t>Grand Total</t>
  </si>
  <si>
    <t>Count of Start time</t>
  </si>
  <si>
    <t>Count of How often do you eat at The Door ?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</si>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</sst>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B9CD3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D0E8D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FF8F00"/>
        <bgColor indexed="64"/>
      </patternFill>
    </fill>
    <fill>
      <patternFill patternType="solid">
        <fgColor rgb="FFFFE0B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4" fillId="6" borderId="0" xfId="0" applyFont="1" applyFill="1"/>
    <xf numFmtId="9" fontId="4" fillId="6" borderId="0" xfId="0" applyNumberFormat="1" applyFont="1" applyFill="1"/>
    <xf numFmtId="9" fontId="0" fillId="0" borderId="0" xfId="0" applyNumberFormat="1"/>
    <xf numFmtId="0" fontId="1" fillId="8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5" fillId="2" borderId="0" xfId="0" applyFont="1" applyFill="1"/>
    <xf numFmtId="49" fontId="0" fillId="0" borderId="0" xfId="0" applyNumberFormat="1"/>
    <xf numFmtId="0" fontId="0" fillId="0" borderId="0" xfId="0" quotePrefix="1"/>
    <xf numFmtId="0" fontId="2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65" fontId="0" fillId="0" borderId="0" xfId="0" applyNumberFormat="1"/>
    <xf numFmtId="4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5" formatCode="m/d/yyyy\ h:mm:ss"/>
    </dxf>
    <dxf>
      <numFmt numFmtId="165" formatCode="m/d/yyyy\ h:mm:ss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5" formatCode="m/d/yyyy\ h:mm:ss"/>
    </dxf>
    <dxf>
      <numFmt numFmtId="165" formatCode="m/d/yy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 Us Improve_ Share Your Thoughts on Our Service_5b_homework.xlsx]Responses!PivotTable2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Email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Responses!$B$10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Responses!$A$11:$A$15</c:f>
              <c:strCache>
                <c:ptCount val="4"/>
                <c:pt idx="0">
                  <c:v>dkabakibi@my.yearupunited.org</c:v>
                </c:pt>
                <c:pt idx="1">
                  <c:v>ktyler@my.yearupunited.org</c:v>
                </c:pt>
                <c:pt idx="2">
                  <c:v>mblack@my.yearupunited.org</c:v>
                </c:pt>
                <c:pt idx="3">
                  <c:v>msantarin@my.yearupunited.org</c:v>
                </c:pt>
              </c:strCache>
            </c:strRef>
          </c:cat>
          <c:val>
            <c:numRef>
              <c:f>Responses!$B$11:$B$15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1-4232-8E1F-36A2EF2EB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8756704"/>
        <c:axId val="1808757184"/>
      </c:barChart>
      <c:catAx>
        <c:axId val="180875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57184"/>
        <c:crosses val="autoZero"/>
        <c:auto val="1"/>
        <c:lblAlgn val="ctr"/>
        <c:lblOffset val="100"/>
        <c:noMultiLvlLbl val="0"/>
      </c:catAx>
      <c:valAx>
        <c:axId val="180875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5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 Us Improve_ Share Your Thoughts on Our Service_5b_homework.xlsx]Responses!PivotTable3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Responses!$B$24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Responses!$A$25:$A$27</c:f>
              <c:strCache>
                <c:ptCount val="2"/>
                <c:pt idx="0">
                  <c:v>Female</c:v>
                </c:pt>
                <c:pt idx="1">
                  <c:v>Non-binary/Other</c:v>
                </c:pt>
              </c:strCache>
            </c:strRef>
          </c:cat>
          <c:val>
            <c:numRef>
              <c:f>Responses!$B$25:$B$27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4-4E58-AD46-28E23215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8</xdr:row>
      <xdr:rowOff>88899</xdr:rowOff>
    </xdr:from>
    <xdr:to>
      <xdr:col>5</xdr:col>
      <xdr:colOff>203200</xdr:colOff>
      <xdr:row>21</xdr:row>
      <xdr:rowOff>15874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24DE26-8D2C-CFB4-9F2F-A6968C37F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301625</xdr:colOff>
      <xdr:row>23</xdr:row>
      <xdr:rowOff>3175</xdr:rowOff>
    </xdr:from>
    <xdr:to>
      <xdr:col>5</xdr:col>
      <xdr:colOff>682625</xdr:colOff>
      <xdr:row>37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A37F7B-76C8-8EA5-2325-6835F4B50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1910443</xdr:colOff>
      <xdr:row>0</xdr:row>
      <xdr:rowOff>127000</xdr:rowOff>
    </xdr:from>
    <xdr:to>
      <xdr:col>9</xdr:col>
      <xdr:colOff>551543</xdr:colOff>
      <xdr:row>14</xdr:row>
      <xdr:rowOff>47171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EE1387-642F-C5FD-0189-EFF8F82F9969}"/>
            </a:ext>
          </a:extLst>
        </xdr:cNvPr>
        <xdr:cNvSpPr txBox="1"/>
      </xdr:nvSpPr>
      <xdr:spPr>
        <a:xfrm>
          <a:off x="11430000" y="127000"/>
          <a:ext cx="5080000" cy="5080000"/>
        </a:xfrm>
        <a:prstGeom prst="rect">
          <a:avLst/>
        </a:prstGeom>
        <a:solidFill>
          <a:srgbClr val="D3D3D3"/>
        </a:solidFill>
        <a:ln>
          <a:solidFill>
            <a:prstClr val="black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📌 How to Navigate This Summary Sheet: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Summary Overview: Displays the total number of responses and key metrics derived from your data.
- Breakdown Tables: Detailed insights based on the following areas: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Customer Support &amp; Interaction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Ease of Doing Business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Communication &amp; Transparency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Pivot Tables: Dynamic data analysis for the following categories: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Overall Satisfaction by Gender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Overall Satisfaction by Relationship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⭐ Tips: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Click on the data cells to view the formulas and related questions. You can customize these formulas to map to other questions as needed.
 - Satisfaction rate = Percentage of responses that selected 'Very Satisfied' or 'Satisfied'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aiah antonio" refreshedDate="46124.031696296297" createdVersion="8" refreshedVersion="8" minRefreshableVersion="3" recordCount="4" xr:uid="{7F1B678E-91D8-40D7-9812-5D713A757CF5}">
  <cacheSource type="worksheet">
    <worksheetSource name="OfficeForms.Table"/>
  </cacheSource>
  <cacheFields count="15">
    <cacheField name="Id" numFmtId="0">
      <sharedItems containsSemiMixedTypes="0" containsString="0" containsNumber="1" containsInteger="1" minValue="1" maxValue="4"/>
    </cacheField>
    <cacheField name="Start time" numFmtId="165">
      <sharedItems containsSemiMixedTypes="0" containsNonDate="0" containsDate="1" containsString="0" minDate="2026-04-09T06:35:01" maxDate="2026-04-09T22:04:45"/>
    </cacheField>
    <cacheField name="Completion time" numFmtId="165">
      <sharedItems containsSemiMixedTypes="0" containsNonDate="0" containsDate="1" containsString="0" minDate="2026-04-09T06:41:50" maxDate="2026-04-09T22:05:49"/>
    </cacheField>
    <cacheField name="Time Complete" numFmtId="45">
      <sharedItems containsSemiMixedTypes="0" containsNonDate="0" containsDate="1" containsString="0" minDate="1899-12-30T00:01:04" maxDate="1899-12-30T00:06:49"/>
    </cacheField>
    <cacheField name="Email" numFmtId="49">
      <sharedItems count="4">
        <s v="dkabakibi@my.yearupunited.org"/>
        <s v="msantarin@my.yearupunited.org"/>
        <s v="mblack@my.yearupunited.org"/>
        <s v="ktyler@my.yearupunited.org"/>
      </sharedItems>
    </cacheField>
    <cacheField name="Name" numFmtId="49">
      <sharedItems/>
    </cacheField>
    <cacheField name="Gender" numFmtId="49">
      <sharedItems count="2">
        <s v="Female"/>
        <s v="Non-binary/Other"/>
      </sharedItems>
    </cacheField>
    <cacheField name="Relationship with Our Organization" numFmtId="49">
      <sharedItems/>
    </cacheField>
    <cacheField name="How often do you eat at The Door ?" numFmtId="0">
      <sharedItems/>
    </cacheField>
    <cacheField name="Should we add other Caribbean dishes to the menu ?" numFmtId="0">
      <sharedItems/>
    </cacheField>
    <cacheField name="What is your favorite dish on the menu ?" numFmtId="0">
      <sharedItems containsBlank="1"/>
    </cacheField>
    <cacheField name="How long have you been a customer at The Door ?" numFmtId="0">
      <sharedItems/>
    </cacheField>
    <cacheField name="On a scale from 1 - 5, rate your experience with Jamaican customer service. " numFmtId="0">
      <sharedItems/>
    </cacheField>
    <cacheField name="Which areas of our service could be improved?" numFmtId="49">
      <sharedItems containsBlank="1"/>
    </cacheField>
    <cacheField name="How often do you use restaurant reward apps ?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d v="2026-04-09T06:35:01"/>
    <d v="2026-04-09T06:41:50"/>
    <d v="1899-12-30T00:06:49"/>
    <x v="0"/>
    <s v="dania kabakibi"/>
    <x v="0"/>
    <s v="New customer"/>
    <s v="Monthly"/>
    <s v="Yes"/>
    <s v="Rasta pasta &amp; shrimp"/>
    <s v="Less than 1 year"/>
    <s v="5"/>
    <s v="The response time on technical tickets"/>
    <s v="Weekly"/>
  </r>
  <r>
    <n v="2"/>
    <d v="2026-04-09T06:55:47"/>
    <d v="2026-04-09T06:57:05"/>
    <d v="1899-12-30T00:01:18"/>
    <x v="1"/>
    <s v="marenza santarin"/>
    <x v="0"/>
    <s v="New customer"/>
    <s v="Never"/>
    <s v="Yes"/>
    <m/>
    <s v="Less than 1 year"/>
    <s v="3"/>
    <s v="Staff friendliness"/>
    <s v="Never"/>
  </r>
  <r>
    <n v="3"/>
    <d v="2026-04-09T08:50:25"/>
    <d v="2026-04-09T08:51:42"/>
    <d v="1899-12-30T00:01:17"/>
    <x v="2"/>
    <s v="maia black"/>
    <x v="1"/>
    <s v="New customer"/>
    <s v="Never"/>
    <s v="No"/>
    <s v="Oxtail"/>
    <s v="Less than 1 year"/>
    <s v="4"/>
    <m/>
    <s v="Monthly"/>
  </r>
  <r>
    <n v="4"/>
    <d v="2026-04-09T22:04:45"/>
    <d v="2026-04-09T22:05:49"/>
    <d v="1899-12-30T00:01:04"/>
    <x v="3"/>
    <s v="kendra tyler"/>
    <x v="0"/>
    <s v="New customer"/>
    <s v="Weekly"/>
    <s v="Yes"/>
    <s v="Jerk chicken w/ Rice and peas "/>
    <s v="Less than 1 year"/>
    <s v="5"/>
    <s v="The wait time "/>
    <s v="Week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9C589-0835-4608-B12F-48882C6F0DC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">
  <location ref="A24:B27" firstHeaderRow="1" firstDataRow="1" firstDataCol="1"/>
  <pivotFields count="15">
    <pivotField showAll="0"/>
    <pivotField numFmtId="165" showAll="0"/>
    <pivotField numFmtId="165" showAll="0"/>
    <pivotField numFmtId="45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How often do you eat at The Door ?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2707A-5E07-48B3-8BFF-700F018FFDCF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:B15" firstHeaderRow="1" firstDataRow="1" firstDataCol="1"/>
  <pivotFields count="15">
    <pivotField showAll="0"/>
    <pivotField dataField="1" numFmtId="165" showAll="0"/>
    <pivotField numFmtId="165" showAll="0"/>
    <pivotField numFmtId="45"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rt ti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6" totalsRowCount="1">
  <autoFilter ref="A1:O5" xr:uid="{00000000-0009-0000-0100-000001000000}"/>
  <tableColumns count="15">
    <tableColumn id="1" xr3:uid="{00000000-0010-0000-0000-000001000000}" name="Id" dataDxfId="29" totalsRowDxfId="1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8" totalsRowDxfId="1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7" totalsRowDxfId="12">
      <extLst>
        <ext xmlns:xlmsforms="http://schemas.microsoft.com/office/spreadsheetml/2023/msForms" uri="{FCC71383-01E1-4257-9335-427F07BE8D7F}">
          <xlmsforms:question id="submitDate"/>
        </ext>
      </extLst>
    </tableColumn>
    <tableColumn id="7" xr3:uid="{12F13CF8-7B0D-4F10-904F-DD3AC4606C86}" name="Time Complete" totalsRowFunction="custom" dataDxfId="26" totalsRowDxfId="11">
      <calculatedColumnFormula>C2-B2</calculatedColumnFormula>
      <totalsRowFormula>AVERAGE(D2:D5)</totalsRowFormula>
    </tableColumn>
    <tableColumn id="4" xr3:uid="{00000000-0010-0000-0000-000004000000}" name="Email" dataDxfId="25" totalsRowDxfId="1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4" totalsRowDxfId="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Gender" dataDxfId="23" totalsRowDxfId="8">
      <extLst>
        <ext xmlns:xlmsforms="http://schemas.microsoft.com/office/spreadsheetml/2023/msForms" uri="{FCC71383-01E1-4257-9335-427F07BE8D7F}">
          <xlmsforms:question id="r37e7030182c930139836db327348c8f7"/>
        </ext>
      </extLst>
    </tableColumn>
    <tableColumn id="8" xr3:uid="{00000000-0010-0000-0000-000008000000}" name="Relationship with Our Organization" dataDxfId="22" totalsRowDxfId="7">
      <extLst>
        <ext xmlns:xlmsforms="http://schemas.microsoft.com/office/spreadsheetml/2023/msForms" uri="{FCC71383-01E1-4257-9335-427F07BE8D7F}">
          <xlmsforms:question id="r71f38c569fa103b492a5c1c54acfa9d2"/>
        </ext>
      </extLst>
    </tableColumn>
    <tableColumn id="23" xr3:uid="{0078F8A7-E9D1-4EFA-B081-2F6DAC50482B}" name="How often do you eat at The Door ?" dataDxfId="21" totalsRowDxfId="6">
      <extLst>
        <ext xmlns:xlmsforms="http://schemas.microsoft.com/office/spreadsheetml/2023/msForms" uri="{FCC71383-01E1-4257-9335-427F07BE8D7F}">
          <xlmsforms:question id="r6e6375561ea3421a8b42ca6127984a95"/>
        </ext>
      </extLst>
    </tableColumn>
    <tableColumn id="24" xr3:uid="{32C450C0-07CF-481B-9690-F7001233CBDE}" name="Should we add other Caribbean dishes to the menu ?" dataDxfId="20" totalsRowDxfId="5">
      <extLst>
        <ext xmlns:xlmsforms="http://schemas.microsoft.com/office/spreadsheetml/2023/msForms" uri="{FCC71383-01E1-4257-9335-427F07BE8D7F}">
          <xlmsforms:question id="re7a289c4406b48ccbd88446995fe6a87"/>
        </ext>
      </extLst>
    </tableColumn>
    <tableColumn id="25" xr3:uid="{6CC6E82D-50EE-4450-A657-BD7F5A3717DB}" name="What is your favorite dish on the menu ?" dataDxfId="19" totalsRowDxfId="4">
      <extLst>
        <ext xmlns:xlmsforms="http://schemas.microsoft.com/office/spreadsheetml/2023/msForms" uri="{FCC71383-01E1-4257-9335-427F07BE8D7F}">
          <xlmsforms:question id="rc1d5edfeffe94ae7a54dc2f717534ca5"/>
        </ext>
      </extLst>
    </tableColumn>
    <tableColumn id="26" xr3:uid="{47C86E0D-428F-4311-BD5D-03649AA04B38}" name="How long have you been a customer at The Door ?" dataDxfId="18" totalsRowDxfId="3">
      <extLst>
        <ext xmlns:xlmsforms="http://schemas.microsoft.com/office/spreadsheetml/2023/msForms" uri="{FCC71383-01E1-4257-9335-427F07BE8D7F}">
          <xlmsforms:question id="r4772e222d2e647bd8d68e89b5cf9c1f0"/>
        </ext>
      </extLst>
    </tableColumn>
    <tableColumn id="27" xr3:uid="{2ADBC3B6-E7E5-4EBC-A001-BA00348C63F2}" name="On a scale from 1 - 5, rate your experience with Jamaican customer service. " dataDxfId="17" totalsRowDxfId="2">
      <extLst>
        <ext xmlns:xlmsforms="http://schemas.microsoft.com/office/spreadsheetml/2023/msForms" uri="{FCC71383-01E1-4257-9335-427F07BE8D7F}">
          <xlmsforms:question id="r3835d36b6d174354b713df1a524118f5"/>
        </ext>
      </extLst>
    </tableColumn>
    <tableColumn id="20" xr3:uid="{00000000-0010-0000-0000-000014000000}" name="Which areas of our service could be improved?" dataDxfId="16" totalsRowDxfId="1">
      <extLst>
        <ext xmlns:xlmsforms="http://schemas.microsoft.com/office/spreadsheetml/2023/msForms" uri="{FCC71383-01E1-4257-9335-427F07BE8D7F}">
          <xlmsforms:question id="rfaa3be1de50cb2b8a76c5959f7d50456"/>
        </ext>
      </extLst>
    </tableColumn>
    <tableColumn id="22" xr3:uid="{00000000-0010-0000-0000-000016000000}" name="How often do you use restaurant reward apps ?" totalsRowFunction="count" dataDxfId="15" totalsRowDxfId="0">
      <extLst>
        <ext xmlns:xlmsforms="http://schemas.microsoft.com/office/spreadsheetml/2023/msForms" uri="{FCC71383-01E1-4257-9335-427F07BE8D7F}">
          <xlmsforms:question id="rc9ed246320754320a4f54cce8ee4e02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-Tx7PKp94tJvxXqjao3AYBUMEFNWjM2WU1JT0s2UU81WEZYOFNJVVpLSS4u" isFormConnected="1" maxResponseId="4" latestEventMarker="4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r37e7030182c930139836db327348c8f7</xlmsforms:syncedQuestionId>
        <xlmsforms:syncedQuestionId>rd47eaab4ffa2a0b590dae0b5c4e67c6d</xlmsforms:syncedQuestionId>
        <xlmsforms:syncedQuestionId>r71f38c569fa103b492a5c1c54acfa9d2</xlmsforms:syncedQuestionId>
        <xlmsforms:syncedQuestionId>r05fa99674c8adf25bc6d88e49ebd682a</xlmsforms:syncedQuestionId>
        <xlmsforms:syncedQuestionId>rc4ba68a0c7b0b973ba9886a220bf2ce7</xlmsforms:syncedQuestionId>
        <xlmsforms:syncedQuestionId>r4973e64df7dadb7fb93967639c7fc83b</xlmsforms:syncedQuestionId>
        <xlmsforms:syncedQuestionId>r044b12442a46ef2e822c76a8ade527ef</xlmsforms:syncedQuestionId>
        <xlmsforms:syncedQuestionId>rbf7bae9a69ebd6dfbb1f20a065616ec4</xlmsforms:syncedQuestionId>
        <xlmsforms:syncedQuestionId>r92f984be9f0118e18ca33c840893efda</xlmsforms:syncedQuestionId>
        <xlmsforms:syncedQuestionId>r9b1125245dbb498a85d4c0b4127aa1c8</xlmsforms:syncedQuestionId>
        <xlmsforms:syncedQuestionId>rc8a657a67f246e18964d81cdfb77390e</xlmsforms:syncedQuestionId>
        <xlmsforms:syncedQuestionId>r87d98dfa9474332c92fa3791d2e5bd6d</xlmsforms:syncedQuestionId>
        <xlmsforms:syncedQuestionId>rdb05bc279968e7ce9e33993f5e5dbea8</xlmsforms:syncedQuestionId>
        <xlmsforms:syncedQuestionId>r25416781abac7dcaa8e83b2e627854b7</xlmsforms:syncedQuestionId>
        <xlmsforms:syncedQuestionId>rfaa3be1de50cb2b8a76c5959f7d50456</xlmsforms:syncedQuestionId>
        <xlmsforms:syncedQuestionId>rdcf86d4d4e1ea268a658087d0509ba95</xlmsforms:syncedQuestionId>
        <xlmsforms:syncedQuestionId>rc9ed246320754320a4f54cce8ee4e024</xlmsforms:syncedQuestionId>
        <xlmsforms:syncedQuestionId>r6e6375561ea3421a8b42ca6127984a95</xlmsforms:syncedQuestionId>
        <xlmsforms:syncedQuestionId>re7a289c4406b48ccbd88446995fe6a87</xlmsforms:syncedQuestionId>
        <xlmsforms:syncedQuestionId>rc1d5edfeffe94ae7a54dc2f717534ca5</xlmsforms:syncedQuestionId>
        <xlmsforms:syncedQuestionId>r4772e222d2e647bd8d68e89b5cf9c1f0</xlmsforms:syncedQuestionId>
        <xlmsforms:syncedQuestionId>r3835d36b6d174354b713df1a524118f5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616B-80E5-453C-8814-383396EBBE27}">
  <dimension ref="A1:O41"/>
  <sheetViews>
    <sheetView tabSelected="1" topLeftCell="A5" workbookViewId="0">
      <selection activeCell="B26" sqref="B26"/>
    </sheetView>
  </sheetViews>
  <sheetFormatPr defaultRowHeight="14.5" x14ac:dyDescent="0.35"/>
  <cols>
    <col min="1" max="1" width="15" bestFit="1" customWidth="1"/>
    <col min="2" max="2" width="36.90625" style="20" bestFit="1" customWidth="1"/>
    <col min="3" max="3" width="20" bestFit="1" customWidth="1"/>
    <col min="4" max="4" width="20" customWidth="1"/>
    <col min="5" max="10" width="20" bestFit="1" customWidth="1"/>
    <col min="11" max="15" width="19" customWidth="1"/>
    <col min="16" max="23" width="20" bestFit="1" customWidth="1"/>
  </cols>
  <sheetData>
    <row r="1" spans="1:15" x14ac:dyDescent="0.35">
      <c r="A1" t="s">
        <v>0</v>
      </c>
      <c r="B1" s="20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1</v>
      </c>
      <c r="B2" s="20">
        <v>46121.274317129602</v>
      </c>
      <c r="C2" s="20">
        <v>46121.279050925899</v>
      </c>
      <c r="D2" s="21">
        <f t="shared" ref="D2:D5" si="0">C2-B2</f>
        <v>4.7337962969322689E-3</v>
      </c>
      <c r="E2" s="13" t="s">
        <v>14</v>
      </c>
      <c r="F2" s="13" t="s">
        <v>15</v>
      </c>
      <c r="G2" s="13" t="s">
        <v>16</v>
      </c>
      <c r="H2" s="13" t="s">
        <v>17</v>
      </c>
      <c r="I2" t="s">
        <v>18</v>
      </c>
      <c r="J2" t="s">
        <v>19</v>
      </c>
      <c r="K2" t="s">
        <v>20</v>
      </c>
      <c r="L2" t="s">
        <v>21</v>
      </c>
      <c r="M2" s="14" t="s">
        <v>22</v>
      </c>
      <c r="N2" s="13" t="s">
        <v>23</v>
      </c>
      <c r="O2" s="13" t="s">
        <v>24</v>
      </c>
    </row>
    <row r="3" spans="1:15" x14ac:dyDescent="0.35">
      <c r="A3">
        <v>2</v>
      </c>
      <c r="B3" s="20">
        <v>46121.288738425901</v>
      </c>
      <c r="C3" s="20">
        <v>46121.289641203701</v>
      </c>
      <c r="D3" s="21">
        <f t="shared" si="0"/>
        <v>9.0277779963798821E-4</v>
      </c>
      <c r="E3" s="13" t="s">
        <v>25</v>
      </c>
      <c r="F3" s="13" t="s">
        <v>26</v>
      </c>
      <c r="G3" s="13" t="s">
        <v>16</v>
      </c>
      <c r="H3" s="13" t="s">
        <v>17</v>
      </c>
      <c r="I3" t="s">
        <v>27</v>
      </c>
      <c r="J3" t="s">
        <v>19</v>
      </c>
      <c r="L3" t="s">
        <v>21</v>
      </c>
      <c r="M3" s="14" t="s">
        <v>28</v>
      </c>
      <c r="N3" s="13" t="s">
        <v>29</v>
      </c>
      <c r="O3" s="13" t="s">
        <v>27</v>
      </c>
    </row>
    <row r="4" spans="1:15" x14ac:dyDescent="0.35">
      <c r="A4">
        <v>3</v>
      </c>
      <c r="B4" s="20">
        <v>46121.368344907401</v>
      </c>
      <c r="C4" s="20">
        <v>46121.369236111103</v>
      </c>
      <c r="D4" s="21">
        <f t="shared" si="0"/>
        <v>8.9120370103046298E-4</v>
      </c>
      <c r="E4" s="13" t="s">
        <v>30</v>
      </c>
      <c r="F4" s="13" t="s">
        <v>31</v>
      </c>
      <c r="G4" s="13" t="s">
        <v>32</v>
      </c>
      <c r="H4" s="13" t="s">
        <v>17</v>
      </c>
      <c r="I4" t="s">
        <v>27</v>
      </c>
      <c r="J4" t="s">
        <v>33</v>
      </c>
      <c r="K4" t="s">
        <v>34</v>
      </c>
      <c r="L4" t="s">
        <v>21</v>
      </c>
      <c r="M4" s="14" t="s">
        <v>35</v>
      </c>
      <c r="N4" s="13"/>
      <c r="O4" s="13" t="s">
        <v>18</v>
      </c>
    </row>
    <row r="5" spans="1:15" x14ac:dyDescent="0.35">
      <c r="A5">
        <v>4</v>
      </c>
      <c r="B5" s="20">
        <v>46121.919965277797</v>
      </c>
      <c r="C5" s="20">
        <v>46121.9207060185</v>
      </c>
      <c r="D5" s="21">
        <f t="shared" si="0"/>
        <v>7.4074070289498195E-4</v>
      </c>
      <c r="E5" s="13" t="s">
        <v>36</v>
      </c>
      <c r="F5" s="13" t="s">
        <v>37</v>
      </c>
      <c r="G5" s="13" t="s">
        <v>16</v>
      </c>
      <c r="H5" s="13" t="s">
        <v>17</v>
      </c>
      <c r="I5" t="s">
        <v>24</v>
      </c>
      <c r="J5" t="s">
        <v>19</v>
      </c>
      <c r="K5" t="s">
        <v>38</v>
      </c>
      <c r="L5" t="s">
        <v>21</v>
      </c>
      <c r="M5" s="14" t="s">
        <v>22</v>
      </c>
      <c r="N5" s="13" t="s">
        <v>39</v>
      </c>
      <c r="O5" s="13" t="s">
        <v>24</v>
      </c>
    </row>
    <row r="6" spans="1:15" x14ac:dyDescent="0.35">
      <c r="A6" s="22"/>
      <c r="C6" s="20"/>
      <c r="D6" s="21">
        <f>AVERAGE(D2:D5)</f>
        <v>1.8171296251239255E-3</v>
      </c>
      <c r="E6" s="13"/>
      <c r="F6" s="13"/>
      <c r="G6" s="13"/>
      <c r="H6" s="13"/>
      <c r="I6" s="22"/>
      <c r="J6" s="22"/>
      <c r="K6" s="22"/>
      <c r="L6" s="22"/>
      <c r="M6" s="22"/>
      <c r="N6" s="13"/>
      <c r="O6" s="22">
        <f>SUBTOTAL(103,OfficeForms.Table[How often do you use restaurant reward apps ?])</f>
        <v>4</v>
      </c>
    </row>
    <row r="10" spans="1:15" x14ac:dyDescent="0.35">
      <c r="A10" s="23" t="s">
        <v>61</v>
      </c>
      <c r="B10" t="s">
        <v>63</v>
      </c>
    </row>
    <row r="11" spans="1:15" x14ac:dyDescent="0.35">
      <c r="A11" s="24" t="s">
        <v>14</v>
      </c>
      <c r="B11" s="22">
        <v>1</v>
      </c>
    </row>
    <row r="12" spans="1:15" x14ac:dyDescent="0.35">
      <c r="A12" s="24" t="s">
        <v>36</v>
      </c>
      <c r="B12" s="22">
        <v>1</v>
      </c>
    </row>
    <row r="13" spans="1:15" x14ac:dyDescent="0.35">
      <c r="A13" s="24" t="s">
        <v>30</v>
      </c>
      <c r="B13" s="22">
        <v>1</v>
      </c>
    </row>
    <row r="14" spans="1:15" x14ac:dyDescent="0.35">
      <c r="A14" s="24" t="s">
        <v>25</v>
      </c>
      <c r="B14" s="22">
        <v>1</v>
      </c>
    </row>
    <row r="15" spans="1:15" x14ac:dyDescent="0.35">
      <c r="A15" s="24" t="s">
        <v>62</v>
      </c>
      <c r="B15" s="22">
        <v>4</v>
      </c>
    </row>
    <row r="16" spans="1:15" x14ac:dyDescent="0.35">
      <c r="B16"/>
    </row>
    <row r="17" spans="1:2" x14ac:dyDescent="0.35">
      <c r="B17"/>
    </row>
    <row r="18" spans="1:2" x14ac:dyDescent="0.35">
      <c r="B18"/>
    </row>
    <row r="19" spans="1:2" x14ac:dyDescent="0.35">
      <c r="B19"/>
    </row>
    <row r="20" spans="1:2" x14ac:dyDescent="0.35">
      <c r="B20"/>
    </row>
    <row r="21" spans="1:2" x14ac:dyDescent="0.35">
      <c r="B21"/>
    </row>
    <row r="22" spans="1:2" x14ac:dyDescent="0.35">
      <c r="B22"/>
    </row>
    <row r="23" spans="1:2" x14ac:dyDescent="0.35">
      <c r="B23"/>
    </row>
    <row r="24" spans="1:2" x14ac:dyDescent="0.35">
      <c r="A24" s="23" t="s">
        <v>65</v>
      </c>
      <c r="B24" t="s">
        <v>64</v>
      </c>
    </row>
    <row r="25" spans="1:2" x14ac:dyDescent="0.35">
      <c r="A25" s="24" t="s">
        <v>16</v>
      </c>
      <c r="B25" s="22">
        <v>3</v>
      </c>
    </row>
    <row r="26" spans="1:2" x14ac:dyDescent="0.35">
      <c r="A26" s="24" t="s">
        <v>32</v>
      </c>
      <c r="B26" s="22">
        <v>1</v>
      </c>
    </row>
    <row r="27" spans="1:2" x14ac:dyDescent="0.35">
      <c r="A27" s="24" t="s">
        <v>62</v>
      </c>
      <c r="B27" s="22">
        <v>4</v>
      </c>
    </row>
    <row r="28" spans="1:2" x14ac:dyDescent="0.35">
      <c r="B28"/>
    </row>
    <row r="29" spans="1:2" x14ac:dyDescent="0.35">
      <c r="B29"/>
    </row>
    <row r="30" spans="1:2" x14ac:dyDescent="0.35">
      <c r="B30"/>
    </row>
    <row r="31" spans="1:2" x14ac:dyDescent="0.35">
      <c r="B31"/>
    </row>
    <row r="32" spans="1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0247-9C28-45BF-A227-60B2F2F5BFA5}">
  <dimension ref="A1:C36"/>
  <sheetViews>
    <sheetView workbookViewId="0">
      <selection activeCell="A2" sqref="A2"/>
    </sheetView>
  </sheetViews>
  <sheetFormatPr defaultRowHeight="14.5" x14ac:dyDescent="0.35"/>
  <cols>
    <col min="1" max="4" width="44.81640625" customWidth="1"/>
  </cols>
  <sheetData>
    <row r="1" spans="1:3" ht="75" customHeight="1" x14ac:dyDescent="0.35">
      <c r="A1" s="1" t="s">
        <v>40</v>
      </c>
      <c r="B1" s="1" t="s">
        <v>41</v>
      </c>
    </row>
    <row r="2" spans="1:3" ht="75" customHeight="1" x14ac:dyDescent="0.35">
      <c r="A2" s="3" t="e">
        <f>(COUNTIF(#REF!, "4") + COUNTIF(#REF!, "5")) / COUNTIF(#REF!, "&lt;&gt;")</f>
        <v>#REF!</v>
      </c>
      <c r="B2" s="2">
        <f>COUNTIF(OfficeForms.Table[Id], "&lt;&gt;")</f>
        <v>4</v>
      </c>
    </row>
    <row r="4" spans="1:3" ht="40" customHeight="1" x14ac:dyDescent="0.35">
      <c r="A4" s="15" t="s">
        <v>42</v>
      </c>
      <c r="B4" s="15"/>
      <c r="C4" s="15"/>
    </row>
    <row r="5" spans="1:3" ht="30" customHeight="1" x14ac:dyDescent="0.35">
      <c r="A5" s="4" t="s">
        <v>5</v>
      </c>
      <c r="B5" s="4" t="s">
        <v>40</v>
      </c>
      <c r="C5" s="4" t="s">
        <v>41</v>
      </c>
    </row>
    <row r="6" spans="1:3" x14ac:dyDescent="0.35">
      <c r="A6" s="5" t="str" cm="1">
        <f t="array" ref="A6:A7">_xlfn.UNIQUE(_xlfn._xlws.FILTER(OfficeForms.Table[Gender], OfficeForms.Table[Gender]&lt;&gt;"" ))</f>
        <v>Female</v>
      </c>
      <c r="B6" s="6" t="e" cm="1">
        <f t="array" ref="B6:B7">_xlfn.MAKEARRAY(ROWS(_xlfn.UNIQUE(_xlfn._xlws.FILTER(OfficeForms.Table[Gender], OfficeForms.Table[Gender]&lt;&gt;"" ))), 1, _xlfn.LAMBDA(_xlpm.r,_xlpm.c, (COUNTIFS(OfficeForms.Table[Gender], INDEX(_xlfn.UNIQUE(_xlfn._xlws.FILTER(OfficeForms.Table[Gender], OfficeForms.Table[Gender]&lt;&gt;"" )), _xlpm.r, 1),#REF!, "4") + COUNTIFS(OfficeForms.Table[Gender], INDEX(_xlfn.UNIQUE(_xlfn._xlws.FILTER(OfficeForms.Table[Gender], OfficeForms.Table[Gender]&lt;&gt;"" )), _xlpm.r, 1),#REF!, "5")) / COUNTIF(OfficeForms.Table[Gender], INDEX(_xlfn.UNIQUE(_xlfn._xlws.FILTER(OfficeForms.Table[Gender], OfficeForms.Table[Gender]&lt;&gt;"" )), _xlpm.r, 1))))</f>
        <v>#REF!</v>
      </c>
      <c r="C6" s="5" cm="1">
        <f t="array" ref="C6:C7">_xlfn.MAKEARRAY(ROWS(_xlfn.UNIQUE(_xlfn._xlws.FILTER(OfficeForms.Table[Gender], OfficeForms.Table[Gender]&lt;&gt;"" ))), 1, _xlfn.LAMBDA(_xlpm.r,_xlpm.c, COUNTIF(OfficeForms.Table[Gender], INDEX(_xlfn.UNIQUE(_xlfn._xlws.FILTER(OfficeForms.Table[Gender], OfficeForms.Table[Gender]&lt;&gt;"" )), _xlpm.r, 1))))</f>
        <v>3</v>
      </c>
    </row>
    <row r="7" spans="1:3" x14ac:dyDescent="0.35">
      <c r="A7" t="str">
        <v>Non-binary/Other</v>
      </c>
      <c r="B7" s="7" t="e">
        <v>#REF!</v>
      </c>
      <c r="C7">
        <v>1</v>
      </c>
    </row>
    <row r="8" spans="1:3" x14ac:dyDescent="0.35">
      <c r="B8" s="7"/>
    </row>
    <row r="11" spans="1:3" ht="40" customHeight="1" x14ac:dyDescent="0.35">
      <c r="A11" s="16" t="s">
        <v>43</v>
      </c>
      <c r="B11" s="16"/>
      <c r="C11" s="16"/>
    </row>
    <row r="12" spans="1:3" ht="30" customHeight="1" x14ac:dyDescent="0.35">
      <c r="A12" s="8" t="s">
        <v>6</v>
      </c>
      <c r="B12" s="8" t="s">
        <v>40</v>
      </c>
      <c r="C12" s="8" t="s">
        <v>41</v>
      </c>
    </row>
    <row r="13" spans="1:3" x14ac:dyDescent="0.35">
      <c r="A13" s="5" t="str" cm="1">
        <f t="array" ref="A13">_xlfn.UNIQUE(_xlfn._xlws.FILTER(OfficeForms.Table[Relationship with Our Organization], OfficeForms.Table[Relationship with Our Organization]&lt;&gt;"" ))</f>
        <v>New customer</v>
      </c>
      <c r="B13" s="6" t="e" cm="1">
        <f t="array" ref="B13">_xlfn.MAKEARRAY(ROWS(_xlfn.UNIQUE(_xlfn._xlws.FILTER(OfficeForms.Table[Relationship with Our Organization], OfficeForms.Table[Relationship with Our Organization]&lt;&gt;"" ))), 1, _xlfn.LAMBDA(_xlpm.r,_xlpm.c, (COUNTIFS(OfficeForms.Table[Relationship with Our Organization], INDEX(_xlfn.UNIQUE(_xlfn._xlws.FILTER(OfficeForms.Table[Relationship with Our Organization], OfficeForms.Table[Relationship with Our Organization]&lt;&gt;"" )), _xlpm.r, 1),#REF!, "4") + COUNTIFS(OfficeForms.Table[Relationship with Our Organization], INDEX(_xlfn.UNIQUE(_xlfn._xlws.FILTER(OfficeForms.Table[Relationship with Our Organization], OfficeForms.Table[Relationship with Our Organization]&lt;&gt;"" )), _xlpm.r, 1),#REF!, "5")) / COUNTIF(OfficeForms.Table[Relationship with Our Organization], INDEX(_xlfn.UNIQUE(_xlfn._xlws.FILTER(OfficeForms.Table[Relationship with Our Organization], OfficeForms.Table[Relationship with Our Organization]&lt;&gt;"" )), _xlpm.r, 1))))</f>
        <v>#REF!</v>
      </c>
      <c r="C13" s="5" cm="1">
        <f t="array" ref="C13">_xlfn.MAKEARRAY(ROWS(_xlfn.UNIQUE(_xlfn._xlws.FILTER(OfficeForms.Table[Relationship with Our Organization], OfficeForms.Table[Relationship with Our Organization]&lt;&gt;"" ))), 1, _xlfn.LAMBDA(_xlpm.r,_xlpm.c, COUNTIF(OfficeForms.Table[Relationship with Our Organization], INDEX(_xlfn.UNIQUE(_xlfn._xlws.FILTER(OfficeForms.Table[Relationship with Our Organization], OfficeForms.Table[Relationship with Our Organization]&lt;&gt;"" )), _xlpm.r, 1))))</f>
        <v>4</v>
      </c>
    </row>
    <row r="14" spans="1:3" x14ac:dyDescent="0.35">
      <c r="B14" s="7"/>
    </row>
    <row r="15" spans="1:3" x14ac:dyDescent="0.35">
      <c r="B15" s="7"/>
    </row>
    <row r="18" spans="1:2" ht="40" customHeight="1" x14ac:dyDescent="0.35">
      <c r="A18" s="17" t="s">
        <v>44</v>
      </c>
      <c r="B18" s="17"/>
    </row>
    <row r="19" spans="1:2" ht="30" customHeight="1" x14ac:dyDescent="0.35">
      <c r="A19" s="9" t="s">
        <v>45</v>
      </c>
      <c r="B19" s="9" t="s">
        <v>46</v>
      </c>
    </row>
    <row r="20" spans="1:2" x14ac:dyDescent="0.35">
      <c r="A20" s="5" t="s">
        <v>47</v>
      </c>
      <c r="B20" s="6" t="e">
        <f>(COUNTIF(#REF!, "Excellent") + COUNTIF(#REF!, "Good")) / COUNTIF(#REF!, "&lt;&gt;")</f>
        <v>#REF!</v>
      </c>
    </row>
    <row r="21" spans="1:2" x14ac:dyDescent="0.35">
      <c r="A21" s="5" t="s">
        <v>48</v>
      </c>
      <c r="B21" s="6" t="e">
        <f>(COUNTIF(#REF!, "Excellent") + COUNTIF(#REF!, "Good")) / COUNTIF(#REF!, "&lt;&gt;")</f>
        <v>#REF!</v>
      </c>
    </row>
    <row r="22" spans="1:2" x14ac:dyDescent="0.35">
      <c r="A22" s="5" t="s">
        <v>49</v>
      </c>
      <c r="B22" s="6" t="e">
        <f>(COUNTIF(#REF!, "Excellent") + COUNTIF(#REF!, "Good")) / COUNTIF(#REF!, "&lt;&gt;")</f>
        <v>#REF!</v>
      </c>
    </row>
    <row r="25" spans="1:2" ht="40" customHeight="1" x14ac:dyDescent="0.35">
      <c r="A25" s="18" t="s">
        <v>50</v>
      </c>
      <c r="B25" s="18"/>
    </row>
    <row r="26" spans="1:2" ht="30" customHeight="1" x14ac:dyDescent="0.35">
      <c r="A26" s="10" t="s">
        <v>45</v>
      </c>
      <c r="B26" s="10" t="s">
        <v>46</v>
      </c>
    </row>
    <row r="27" spans="1:2" x14ac:dyDescent="0.35">
      <c r="A27" s="5" t="s">
        <v>51</v>
      </c>
      <c r="B27" s="6" t="e">
        <f>(COUNTIF(#REF!, "Very Easy") + COUNTIF(#REF!, "Easy")) / COUNTIF(#REF!, "&lt;&gt;")</f>
        <v>#REF!</v>
      </c>
    </row>
    <row r="28" spans="1:2" x14ac:dyDescent="0.35">
      <c r="A28" s="5" t="s">
        <v>52</v>
      </c>
      <c r="B28" s="6" t="e">
        <f>(COUNTIF(#REF!, "Very Easy") + COUNTIF(#REF!, "Easy")) / COUNTIF(#REF!, "&lt;&gt;")</f>
        <v>#REF!</v>
      </c>
    </row>
    <row r="29" spans="1:2" x14ac:dyDescent="0.35">
      <c r="A29" s="5" t="s">
        <v>53</v>
      </c>
      <c r="B29" s="6" t="e">
        <f>(COUNTIF(#REF!, "Very Easy") + COUNTIF(#REF!, "Easy")) / COUNTIF(#REF!, "&lt;&gt;")</f>
        <v>#REF!</v>
      </c>
    </row>
    <row r="32" spans="1:2" ht="40" customHeight="1" x14ac:dyDescent="0.35">
      <c r="A32" s="19" t="s">
        <v>54</v>
      </c>
      <c r="B32" s="19"/>
    </row>
    <row r="33" spans="1:2" ht="30" customHeight="1" x14ac:dyDescent="0.35">
      <c r="A33" s="11" t="s">
        <v>45</v>
      </c>
      <c r="B33" s="11" t="s">
        <v>46</v>
      </c>
    </row>
    <row r="34" spans="1:2" x14ac:dyDescent="0.35">
      <c r="A34" s="5" t="s">
        <v>55</v>
      </c>
      <c r="B34" s="6" t="e">
        <f>(COUNTIF(#REF!, "Excellent") + COUNTIF(#REF!, "Good")) / COUNTIF(#REF!, "&lt;&gt;")</f>
        <v>#REF!</v>
      </c>
    </row>
    <row r="35" spans="1:2" x14ac:dyDescent="0.35">
      <c r="A35" s="5" t="s">
        <v>56</v>
      </c>
      <c r="B35" s="6" t="e">
        <f>(COUNTIF(#REF!, "Excellent") + COUNTIF(#REF!, "Good")) / COUNTIF(#REF!, "&lt;&gt;")</f>
        <v>#REF!</v>
      </c>
    </row>
    <row r="36" spans="1:2" x14ac:dyDescent="0.35">
      <c r="A36" s="5" t="s">
        <v>57</v>
      </c>
      <c r="B36" s="6" t="e">
        <f>(COUNTIF(#REF!, "Excellent") + COUNTIF(#REF!, "Good")) / COUNTIF(#REF!, "&lt;&gt;")</f>
        <v>#REF!</v>
      </c>
    </row>
  </sheetData>
  <mergeCells count="5">
    <mergeCell ref="A4:C4"/>
    <mergeCell ref="A11:C11"/>
    <mergeCell ref="A18:B18"/>
    <mergeCell ref="A25:B25"/>
    <mergeCell ref="A32:B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3CE4-75E9-4742-A37A-FA729E6F6328}">
  <dimension ref="A1:B5"/>
  <sheetViews>
    <sheetView workbookViewId="0"/>
  </sheetViews>
  <sheetFormatPr defaultRowHeight="14.5" x14ac:dyDescent="0.35"/>
  <cols>
    <col min="1" max="1" width="2.81640625" bestFit="1" customWidth="1"/>
    <col min="2" max="2" width="45.7265625" bestFit="1" customWidth="1"/>
  </cols>
  <sheetData>
    <row r="1" spans="1:2" x14ac:dyDescent="0.35">
      <c r="A1" s="12" t="s">
        <v>0</v>
      </c>
      <c r="B1" s="12" t="s">
        <v>58</v>
      </c>
    </row>
    <row r="2" spans="1:2" x14ac:dyDescent="0.35">
      <c r="A2" s="5" cm="1">
        <f t="array" ref="A2:A5">IF(ISBLANK(OfficeForms.Table[Id]), "", OfficeForms.Table[Id])</f>
        <v>1</v>
      </c>
      <c r="B2" s="5" t="e" cm="1">
        <f t="array" ref="B2" xml:space="preserve"> IF(ISBLANK(#REF!), "",#REF!)</f>
        <v>#REF!</v>
      </c>
    </row>
    <row r="3" spans="1:2" x14ac:dyDescent="0.35">
      <c r="A3">
        <v>2</v>
      </c>
    </row>
    <row r="4" spans="1:2" x14ac:dyDescent="0.35">
      <c r="A4">
        <v>3</v>
      </c>
    </row>
    <row r="5" spans="1:2" x14ac:dyDescent="0.35">
      <c r="A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C6C4-8FDA-43CD-8F27-68F611F9B12F}">
  <dimension ref="A1:B5"/>
  <sheetViews>
    <sheetView workbookViewId="0"/>
  </sheetViews>
  <sheetFormatPr defaultRowHeight="14.5" x14ac:dyDescent="0.35"/>
  <cols>
    <col min="1" max="1" width="2.81640625" bestFit="1" customWidth="1"/>
    <col min="2" max="2" width="40.1796875" bestFit="1" customWidth="1"/>
  </cols>
  <sheetData>
    <row r="1" spans="1:2" x14ac:dyDescent="0.35">
      <c r="A1" s="12" t="s">
        <v>0</v>
      </c>
      <c r="B1" s="12" t="s">
        <v>12</v>
      </c>
    </row>
    <row r="2" spans="1:2" x14ac:dyDescent="0.35">
      <c r="A2" s="5" cm="1">
        <f t="array" ref="A2:A5">IF(ISBLANK(OfficeForms.Table[Id]), "", OfficeForms.Table[Id])</f>
        <v>1</v>
      </c>
      <c r="B2" s="5" t="str" cm="1">
        <f t="array" ref="B2:B5">IF(ISBLANK(OfficeForms.Table[Which areas of our service could be improved?]), "", OfficeForms.Table[Which areas of our service could be improved?])</f>
        <v>The response time on technical tickets</v>
      </c>
    </row>
    <row r="3" spans="1:2" x14ac:dyDescent="0.35">
      <c r="A3">
        <v>2</v>
      </c>
      <c r="B3" t="str">
        <v>Staff friendliness</v>
      </c>
    </row>
    <row r="4" spans="1:2" x14ac:dyDescent="0.35">
      <c r="A4">
        <v>3</v>
      </c>
      <c r="B4" t="str">
        <v/>
      </c>
    </row>
    <row r="5" spans="1:2" x14ac:dyDescent="0.35">
      <c r="A5">
        <v>4</v>
      </c>
      <c r="B5" t="str">
        <v xml:space="preserve">The wait time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18F7-1936-45EA-A61A-D9FB12DAAC55}">
  <dimension ref="A1:B5"/>
  <sheetViews>
    <sheetView workbookViewId="0"/>
  </sheetViews>
  <sheetFormatPr defaultRowHeight="14.5" x14ac:dyDescent="0.35"/>
  <cols>
    <col min="1" max="1" width="2.81640625" bestFit="1" customWidth="1"/>
    <col min="2" max="2" width="46.1796875" bestFit="1" customWidth="1"/>
  </cols>
  <sheetData>
    <row r="1" spans="1:2" x14ac:dyDescent="0.35">
      <c r="A1" s="12" t="s">
        <v>0</v>
      </c>
      <c r="B1" s="12" t="s">
        <v>59</v>
      </c>
    </row>
    <row r="2" spans="1:2" x14ac:dyDescent="0.35">
      <c r="A2" s="5" cm="1">
        <f t="array" ref="A2:A5">IF(ISBLANK(OfficeForms.Table[Id]), "", OfficeForms.Table[Id])</f>
        <v>1</v>
      </c>
      <c r="B2" s="5" t="e" cm="1">
        <f t="array" ref="B2" xml:space="preserve"> IF(ISBLANK(#REF!), "",#REF!)</f>
        <v>#REF!</v>
      </c>
    </row>
    <row r="3" spans="1:2" x14ac:dyDescent="0.35">
      <c r="A3">
        <v>2</v>
      </c>
    </row>
    <row r="4" spans="1:2" x14ac:dyDescent="0.35">
      <c r="A4">
        <v>3</v>
      </c>
    </row>
    <row r="5" spans="1:2" x14ac:dyDescent="0.3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Responses</vt:lpstr>
      <vt:lpstr>Summary</vt:lpstr>
      <vt:lpstr>Likes</vt:lpstr>
      <vt:lpstr>Improvements</vt:lpstr>
      <vt:lpstr>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kasaiah antonio</dc:creator>
  <cp:keywords/>
  <dc:description/>
  <cp:lastModifiedBy>kasaiah antonio</cp:lastModifiedBy>
  <cp:revision/>
  <dcterms:created xsi:type="dcterms:W3CDTF">2026-04-09T11:34:57Z</dcterms:created>
  <dcterms:modified xsi:type="dcterms:W3CDTF">2026-04-12T07:50:15Z</dcterms:modified>
  <cp:category/>
  <cp:contentStatus/>
</cp:coreProperties>
</file>