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8_{2EB0DF49-B166-4114-8D77-866BB8A3F8D0}" xr6:coauthVersionLast="47" xr6:coauthVersionMax="47" xr10:uidLastSave="{00000000-0000-0000-0000-000000000000}"/>
  <bookViews>
    <workbookView xWindow="-108" yWindow="-108" windowWidth="23256" windowHeight="12456" activeTab="2" xr2:uid="{00000000-000D-0000-FFFF-FFFF00000000}"/>
  </bookViews>
  <sheets>
    <sheet name="Sheet3" sheetId="4" r:id="rId1"/>
    <sheet name="Sales_Data" sheetId="1" r:id="rId2"/>
    <sheet name="Case_1_Sales_Performance" sheetId="2" r:id="rId3"/>
    <sheet name="task 1 pivot table" sheetId="3" r:id="rId4"/>
  </sheets>
  <definedNames>
    <definedName name="_xlnm._FilterDatabase" localSheetId="1" hidden="1">Sales_Data!$A$1:$K$301</definedName>
    <definedName name="Slicer_Customer_Type">#N/A</definedName>
    <definedName name="Slicer_Customer_Type1">#N/A</definedName>
  </definedNames>
  <calcPr calcId="191028"/>
  <pivotCaches>
    <pivotCache cacheId="1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1" l="1"/>
  <c r="N13" i="1"/>
  <c r="N8" i="1"/>
  <c r="N6" i="1"/>
  <c r="A1" i="1"/>
  <c r="A1"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<sst xmlns="http://schemas.openxmlformats.org/spreadsheetml/2006/main" count="2130" uniqueCount="139">
  <si>
    <t>Date</t>
  </si>
  <si>
    <t>Region</t>
  </si>
  <si>
    <t>Sales_Rep</t>
  </si>
  <si>
    <t>Product_Category</t>
  </si>
  <si>
    <t>Product</t>
  </si>
  <si>
    <t>Units_Sold</t>
  </si>
  <si>
    <t>Unit_Price</t>
  </si>
  <si>
    <t>Total_Sales</t>
  </si>
  <si>
    <t>Customer_Type</t>
  </si>
  <si>
    <t>Payment_Method</t>
  </si>
  <si>
    <t>2026-01-17</t>
  </si>
  <si>
    <t>South</t>
  </si>
  <si>
    <t>Brown</t>
  </si>
  <si>
    <t>Electronics</t>
  </si>
  <si>
    <t>Headphones</t>
  </si>
  <si>
    <t>Retail</t>
  </si>
  <si>
    <t>Credit Card</t>
  </si>
  <si>
    <t>2026-01-16</t>
  </si>
  <si>
    <t>North</t>
  </si>
  <si>
    <t>Lopez</t>
  </si>
  <si>
    <t>Furniture</t>
  </si>
  <si>
    <t>Bookshelf</t>
  </si>
  <si>
    <t>Cash</t>
  </si>
  <si>
    <t>2026-01-03</t>
  </si>
  <si>
    <t>Wire</t>
  </si>
  <si>
    <t>2026-03-28</t>
  </si>
  <si>
    <t>West</t>
  </si>
  <si>
    <t>Patel</t>
  </si>
  <si>
    <t>Mouse</t>
  </si>
  <si>
    <t>Business</t>
  </si>
  <si>
    <t>Debit</t>
  </si>
  <si>
    <t>East</t>
  </si>
  <si>
    <t>Garcia</t>
  </si>
  <si>
    <t>Office Chair</t>
  </si>
  <si>
    <t>2026-02-06</t>
  </si>
  <si>
    <t>Chen</t>
  </si>
  <si>
    <t>Tablet</t>
  </si>
  <si>
    <t>2026-01-22</t>
  </si>
  <si>
    <t>2026-02-02</t>
  </si>
  <si>
    <t>Kim</t>
  </si>
  <si>
    <t>2026-03-17</t>
  </si>
  <si>
    <t>Filing Cabinet</t>
  </si>
  <si>
    <t>2026-01-28</t>
  </si>
  <si>
    <t>Office Supplies</t>
  </si>
  <si>
    <t>Stapler</t>
  </si>
  <si>
    <t>2026-02-11</t>
  </si>
  <si>
    <t>Johnson</t>
  </si>
  <si>
    <t>Markers</t>
  </si>
  <si>
    <t>2026-02-07</t>
  </si>
  <si>
    <t>Pens</t>
  </si>
  <si>
    <t>2026-02-27</t>
  </si>
  <si>
    <t>Keyboard</t>
  </si>
  <si>
    <t>2026-01-25</t>
  </si>
  <si>
    <t>2026-03-29</t>
  </si>
  <si>
    <t>2026-02-05</t>
  </si>
  <si>
    <t>2026-03-27</t>
  </si>
  <si>
    <t>2026-03-01</t>
  </si>
  <si>
    <t>Singh</t>
  </si>
  <si>
    <t>2026-02-09</t>
  </si>
  <si>
    <t>2026-01-18</t>
  </si>
  <si>
    <t>2026-02-14</t>
  </si>
  <si>
    <t>Desk</t>
  </si>
  <si>
    <t>2026-01-19</t>
  </si>
  <si>
    <t>2026-03-23</t>
  </si>
  <si>
    <t>Notebooks</t>
  </si>
  <si>
    <t>2026-01-26</t>
  </si>
  <si>
    <t>2026-03-13</t>
  </si>
  <si>
    <t>Laptop</t>
  </si>
  <si>
    <t>2026-01-15</t>
  </si>
  <si>
    <t>2026-03-20</t>
  </si>
  <si>
    <t>2026-03-22</t>
  </si>
  <si>
    <t>2026-01-13</t>
  </si>
  <si>
    <t>2026-01-30</t>
  </si>
  <si>
    <t>Printer Paper</t>
  </si>
  <si>
    <t>2026-03-19</t>
  </si>
  <si>
    <t>Conference Table</t>
  </si>
  <si>
    <t>2026-02-28</t>
  </si>
  <si>
    <t>2026-02-10</t>
  </si>
  <si>
    <t>2026-01-29</t>
  </si>
  <si>
    <t>2026-02-17</t>
  </si>
  <si>
    <t>2026-01-09</t>
  </si>
  <si>
    <t>Monitor</t>
  </si>
  <si>
    <t>2026-03-26</t>
  </si>
  <si>
    <t>2026-03-04</t>
  </si>
  <si>
    <t>2026-02-15</t>
  </si>
  <si>
    <t>2026-03-07</t>
  </si>
  <si>
    <t>Webcam</t>
  </si>
  <si>
    <t>2026-03-25</t>
  </si>
  <si>
    <t>2026-03-14</t>
  </si>
  <si>
    <t>2026-02-03</t>
  </si>
  <si>
    <t>2026-01-11</t>
  </si>
  <si>
    <t>2026-01-24</t>
  </si>
  <si>
    <t>2026-02-04</t>
  </si>
  <si>
    <t>2026-01-27</t>
  </si>
  <si>
    <t>2026-01-07</t>
  </si>
  <si>
    <t>2026-02-12</t>
  </si>
  <si>
    <t>2026-03-05</t>
  </si>
  <si>
    <t>2026-01-05</t>
  </si>
  <si>
    <t>2026-02-18</t>
  </si>
  <si>
    <t>2026-01-21</t>
  </si>
  <si>
    <t>2026-02-23</t>
  </si>
  <si>
    <t>2026-04-01</t>
  </si>
  <si>
    <t>2026-03-03</t>
  </si>
  <si>
    <t>2026-02-26</t>
  </si>
  <si>
    <t>2026-01-20</t>
  </si>
  <si>
    <t>2026-01-02</t>
  </si>
  <si>
    <t>2026-01-08</t>
  </si>
  <si>
    <t>2026-03-11</t>
  </si>
  <si>
    <t>2026-01-04</t>
  </si>
  <si>
    <t>2026-03-08</t>
  </si>
  <si>
    <t>2026-03-06</t>
  </si>
  <si>
    <t>2026-01-01</t>
  </si>
  <si>
    <t>2026-03-12</t>
  </si>
  <si>
    <t>2026-03-10</t>
  </si>
  <si>
    <t>2026-02-16</t>
  </si>
  <si>
    <t>2026-02-20</t>
  </si>
  <si>
    <t>2026-02-08</t>
  </si>
  <si>
    <t>2026-03-30</t>
  </si>
  <si>
    <t>2026-03-16</t>
  </si>
  <si>
    <t>2026-02-13</t>
  </si>
  <si>
    <t>2026-01-23</t>
  </si>
  <si>
    <t>2026-03-02</t>
  </si>
  <si>
    <t>2026-03-09</t>
  </si>
  <si>
    <t>2026-03-21</t>
  </si>
  <si>
    <t>2026-03-24</t>
  </si>
  <si>
    <t>2026-01-10</t>
  </si>
  <si>
    <t>2026-02-19</t>
  </si>
  <si>
    <t>2026-01-12</t>
  </si>
  <si>
    <t>2026-01-31</t>
  </si>
  <si>
    <t>2026-01-14</t>
  </si>
  <si>
    <t>2026-03-31</t>
  </si>
  <si>
    <t>2026-01-06</t>
  </si>
  <si>
    <t>2026-02-22</t>
  </si>
  <si>
    <t>2026-02-24</t>
  </si>
  <si>
    <t>2026-02-25</t>
  </si>
  <si>
    <t>Row Labels</t>
  </si>
  <si>
    <t>Grand Total</t>
  </si>
  <si>
    <t>Count of Date</t>
  </si>
  <si>
    <t>Count of Customer_Type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</si>
</sst>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5</xdr:col>
      <xdr:colOff>373380</xdr:colOff>
      <xdr:row>9</xdr:row>
      <xdr:rowOff>106680</xdr:rowOff>
    </xdr:from>
    <xdr:to>
      <xdr:col>8</xdr:col>
      <xdr:colOff>373380</xdr:colOff>
      <xdr:row>23</xdr:row>
      <xdr:rowOff>13335</xdr:rowOff>
    </xdr:to>
    <mc:AlternateContent xmlns:mc="http://schemas.openxmlformats.org/markup-compatibility/2006">
      <mc:Choice xmlns:a14="http://schemas.microsoft.com/office/drawing/2010/main" Requires="a14">
        <xdr:graphicFrame macro="">
          <xdr:nvGraphicFramePr>
            <xdr:cNvPr id="2" name="Customer_Type 1">
              <a:extLst>
                <a:ext uri="{FF2B5EF4-FFF2-40B4-BE49-F238E27FC236}">
                  <a16:creationId xmlns:a16="http://schemas.microsoft.com/office/drawing/2014/main" id="{30AEDE9A-5DA1-7D81-E511-D72B28275BD7}"/>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4594860" y="1752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60960</xdr:rowOff>
    </xdr:from>
    <xdr:to>
      <xdr:col>16</xdr:col>
      <xdr:colOff>15240</xdr:colOff>
      <xdr:row>14</xdr:row>
      <xdr:rowOff>152400</xdr:rowOff>
    </xdr:to>
    <xdr:sp macro="" textlink="">
      <xdr:nvSpPr>
        <xdr:cNvPr id="2" name="TextBox 1">
          <a:extLst>
            <a:ext uri="{FF2B5EF4-FFF2-40B4-BE49-F238E27FC236}">
              <a16:creationId xmlns:a16="http://schemas.microsoft.com/office/drawing/2014/main" id="{F5112F1E-80D4-088A-BB23-8389986FCB24}"/>
            </a:ext>
          </a:extLst>
        </xdr:cNvPr>
        <xdr:cNvSpPr txBox="1"/>
      </xdr:nvSpPr>
      <xdr:spPr>
        <a:xfrm>
          <a:off x="30480" y="60960"/>
          <a:ext cx="9738360" cy="2651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Case 1: Sales Performance Analysis </a:t>
          </a:r>
        </a:p>
        <a:p>
          <a:endParaRPr lang="en-US"/>
        </a:p>
        <a:p>
          <a:r>
            <a:rPr lang="en-US"/>
            <a:t>Task 1: REGIONAL PERFORMANCE ANALYSIS</a:t>
          </a:r>
        </a:p>
        <a:p>
          <a:endParaRPr lang="en-US"/>
        </a:p>
        <a:p>
          <a:r>
            <a:rPr lang="en-US"/>
            <a:t>Questions: 1. What is the largest sale in the East region?</a:t>
          </a:r>
        </a:p>
        <a:p>
          <a:endParaRPr lang="en-US"/>
        </a:p>
        <a:p>
          <a:r>
            <a:rPr lang="en-US"/>
            <a:t>Date :2026-03-06 Total</a:t>
          </a:r>
          <a:r>
            <a:rPr lang="en-US" baseline="0"/>
            <a:t> sale : </a:t>
          </a:r>
          <a:r>
            <a:rPr lang="en-US" sz="1100" b="0" i="0" u="none" strike="noStrike">
              <a:solidFill>
                <a:schemeClr val="dk1"/>
              </a:solidFill>
              <a:effectLst/>
              <a:latin typeface="+mn-lt"/>
              <a:ea typeface="+mn-ea"/>
              <a:cs typeface="+mn-cs"/>
            </a:rPr>
            <a:t>52949.98</a:t>
          </a:r>
          <a:r>
            <a:rPr lang="en-US">
              <a:effectLst/>
            </a:rPr>
            <a:t>  Product: Electonics</a:t>
          </a:r>
          <a:r>
            <a:rPr lang="en-US" sz="1100" b="0" i="0" u="none" strike="noStrike">
              <a:solidFill>
                <a:schemeClr val="dk1"/>
              </a:solidFill>
              <a:effectLst/>
              <a:latin typeface="+mn-lt"/>
              <a:ea typeface="+mn-ea"/>
              <a:cs typeface="+mn-cs"/>
            </a:rPr>
            <a:t>52949.98</a:t>
          </a:r>
          <a:r>
            <a:rPr lang="en-US">
              <a:effectLst/>
            </a:rPr>
            <a:t> </a:t>
          </a:r>
        </a:p>
        <a:p>
          <a:r>
            <a:rPr lang="en-US"/>
            <a:t> </a:t>
          </a:r>
        </a:p>
        <a:p>
          <a:r>
            <a:rPr lang="en-US"/>
            <a:t> 2. Which product category appears most frequently?</a:t>
          </a:r>
        </a:p>
        <a:p>
          <a:r>
            <a:rPr lang="en-US"/>
            <a:t>office supplies</a:t>
          </a:r>
        </a:p>
        <a:p>
          <a:endParaRPr lang="en-US"/>
        </a:p>
        <a:p>
          <a:r>
            <a:rPr lang="en-US"/>
            <a:t> 3. Which sales representative appears most often?</a:t>
          </a:r>
        </a:p>
        <a:p>
          <a:endParaRPr lang="en-US"/>
        </a:p>
        <a:p>
          <a:r>
            <a:rPr lang="en-US"/>
            <a:t>Brown </a:t>
          </a:r>
          <a:endParaRPr lang="en-US" sz="1100"/>
        </a:p>
      </xdr:txBody>
    </xdr:sp>
    <xdr:clientData/>
  </xdr:twoCellAnchor>
  <xdr:twoCellAnchor>
    <xdr:from>
      <xdr:col>0</xdr:col>
      <xdr:colOff>0</xdr:colOff>
      <xdr:row>16</xdr:row>
      <xdr:rowOff>7620</xdr:rowOff>
    </xdr:from>
    <xdr:to>
      <xdr:col>15</xdr:col>
      <xdr:colOff>579120</xdr:colOff>
      <xdr:row>29</xdr:row>
      <xdr:rowOff>0</xdr:rowOff>
    </xdr:to>
    <xdr:sp macro="" textlink="">
      <xdr:nvSpPr>
        <xdr:cNvPr id="3" name="TextBox 2">
          <a:extLst>
            <a:ext uri="{FF2B5EF4-FFF2-40B4-BE49-F238E27FC236}">
              <a16:creationId xmlns:a16="http://schemas.microsoft.com/office/drawing/2014/main" id="{D0A33723-13D6-B2A1-65B7-81F8FF55FDF9}"/>
            </a:ext>
          </a:extLst>
        </xdr:cNvPr>
        <xdr:cNvSpPr txBox="1"/>
      </xdr:nvSpPr>
      <xdr:spPr>
        <a:xfrm>
          <a:off x="0" y="2933700"/>
          <a:ext cx="9723120" cy="2369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Task 2: </a:t>
          </a:r>
          <a:r>
            <a:rPr lang="en-US"/>
            <a:t>CUSTOMER BEHAVIOR ANALYSIS </a:t>
          </a:r>
        </a:p>
        <a:p>
          <a:endParaRPr lang="en-US" sz="1100"/>
        </a:p>
        <a:p>
          <a:r>
            <a:rPr lang="en-US"/>
            <a:t>Questions 1. Which product category do business customers purchase most often?</a:t>
          </a:r>
        </a:p>
        <a:p>
          <a:r>
            <a:rPr lang="en-US"/>
            <a:t>Office Supplies</a:t>
          </a:r>
        </a:p>
        <a:p>
          <a:endParaRPr lang="en-US"/>
        </a:p>
        <a:p>
          <a:r>
            <a:rPr lang="en-US"/>
            <a:t> 2. What is the largest business transaction? </a:t>
          </a:r>
        </a:p>
        <a:p>
          <a:endParaRPr lang="en-US" sz="1100" b="0" i="0" u="none" strike="noStrike">
            <a:solidFill>
              <a:schemeClr val="dk1"/>
            </a:solidFill>
            <a:effectLst/>
            <a:latin typeface="+mn-lt"/>
            <a:ea typeface="+mn-ea"/>
            <a:cs typeface="+mn-cs"/>
          </a:endParaRPr>
        </a:p>
        <a:p>
          <a:r>
            <a:rPr lang="en-US"/>
            <a:t>ROW</a:t>
          </a:r>
          <a:r>
            <a:rPr lang="en-US" baseline="0"/>
            <a:t> 12</a:t>
          </a:r>
        </a:p>
        <a:p>
          <a:endParaRPr lang="en-US"/>
        </a:p>
        <a:p>
          <a:r>
            <a:rPr lang="en-US"/>
            <a:t>3. Which sales rep handles the most business orders? </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Brown</a:t>
          </a:r>
          <a:r>
            <a:rPr lang="en-US" sz="1100" b="0" i="0" u="none" strike="noStrike" baseline="0">
              <a:solidFill>
                <a:schemeClr val="dk1"/>
              </a:solidFill>
              <a:effectLst/>
              <a:latin typeface="+mn-lt"/>
              <a:ea typeface="+mn-ea"/>
              <a:cs typeface="+mn-cs"/>
            </a:rPr>
            <a:t> and Garcia</a:t>
          </a:r>
          <a:endParaRPr lang="en-US" sz="1100"/>
        </a:p>
      </xdr:txBody>
    </xdr:sp>
    <xdr:clientData/>
  </xdr:twoCellAnchor>
  <xdr:twoCellAnchor>
    <xdr:from>
      <xdr:col>0</xdr:col>
      <xdr:colOff>22860</xdr:colOff>
      <xdr:row>30</xdr:row>
      <xdr:rowOff>22860</xdr:rowOff>
    </xdr:from>
    <xdr:to>
      <xdr:col>16</xdr:col>
      <xdr:colOff>7620</xdr:colOff>
      <xdr:row>45</xdr:row>
      <xdr:rowOff>152400</xdr:rowOff>
    </xdr:to>
    <xdr:sp macro="" textlink="">
      <xdr:nvSpPr>
        <xdr:cNvPr id="4" name="TextBox 3">
          <a:extLst>
            <a:ext uri="{FF2B5EF4-FFF2-40B4-BE49-F238E27FC236}">
              <a16:creationId xmlns:a16="http://schemas.microsoft.com/office/drawing/2014/main" id="{FD85B4F9-F5AA-3A34-6D1B-7F61B5ED9D3E}"/>
            </a:ext>
          </a:extLst>
        </xdr:cNvPr>
        <xdr:cNvSpPr txBox="1"/>
      </xdr:nvSpPr>
      <xdr:spPr>
        <a:xfrm>
          <a:off x="22860" y="5509260"/>
          <a:ext cx="9738360" cy="2872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Task</a:t>
          </a:r>
          <a:r>
            <a:rPr lang="en-US" sz="1100" baseline="0"/>
            <a:t> 3 : </a:t>
          </a:r>
          <a:r>
            <a:rPr lang="en-US"/>
            <a:t>PRODUCT PERFORMANCE </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312420</xdr:colOff>
      <xdr:row>1</xdr:row>
      <xdr:rowOff>99060</xdr:rowOff>
    </xdr:from>
    <xdr:to>
      <xdr:col>7</xdr:col>
      <xdr:colOff>312420</xdr:colOff>
      <xdr:row>15</xdr:row>
      <xdr:rowOff>5715</xdr:rowOff>
    </xdr:to>
    <mc:AlternateContent xmlns:mc="http://schemas.openxmlformats.org/markup-compatibility/2006">
      <mc:Choice xmlns:a14="http://schemas.microsoft.com/office/drawing/2010/main" Requires="a14">
        <xdr:graphicFrame macro="">
          <xdr:nvGraphicFramePr>
            <xdr:cNvPr id="2" name="Customer_Type">
              <a:extLst>
                <a:ext uri="{FF2B5EF4-FFF2-40B4-BE49-F238E27FC236}">
                  <a16:creationId xmlns:a16="http://schemas.microsoft.com/office/drawing/2014/main" id="{56D19C3B-DDC7-B77C-10C7-49BDB00D6E7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3520440" y="28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1.54748483796" createdVersion="8" refreshedVersion="8" minRefreshableVersion="3" recordCount="301" xr:uid="{D7D69640-35C9-47CC-B863-1F5D1CC2C182}">
  <cacheSource type="worksheet">
    <worksheetSource ref="A1:K1048576" sheet="Sales_Data"/>
  </cacheSource>
  <cacheFields count="11">
    <cacheField name="0" numFmtId="0">
      <sharedItems containsString="0" containsBlank="1" containsNumber="1" containsInteger="1" minValue="2001" maxValue="2300"/>
    </cacheField>
    <cacheField name="Date" numFmtId="0">
      <sharedItems containsBlank="1"/>
    </cacheField>
    <cacheField name="Region" numFmtId="0">
      <sharedItems containsBlank="1" count="5">
        <s v="South"/>
        <s v="North"/>
        <s v="West"/>
        <s v="East"/>
        <m/>
      </sharedItems>
    </cacheField>
    <cacheField name="Sales_Rep" numFmtId="0">
      <sharedItems containsBlank="1" count="9">
        <s v="Brown"/>
        <s v="Lopez"/>
        <s v="Patel"/>
        <s v="Kim"/>
        <s v="Chen"/>
        <s v="Johnson"/>
        <s v="Garcia"/>
        <s v="Singh"/>
        <m/>
      </sharedItems>
    </cacheField>
    <cacheField name="Product_Category" numFmtId="0">
      <sharedItems containsBlank="1" count="4">
        <s v="Electronics"/>
        <s v="Furniture"/>
        <s v="Office Supplies"/>
        <m/>
      </sharedItems>
    </cacheField>
    <cacheField name="Product" numFmtId="0">
      <sharedItems containsBlank="1"/>
    </cacheField>
    <cacheField name="Units_Sold" numFmtId="0">
      <sharedItems containsString="0" containsBlank="1" containsNumber="1" containsInteger="1" minValue="1" maxValue="80"/>
    </cacheField>
    <cacheField name="Unit_Price" numFmtId="0">
      <sharedItems containsString="0" containsBlank="1" containsNumber="1" minValue="1.43" maxValue="973.46"/>
    </cacheField>
    <cacheField name="Total_Sales" numFmtId="0">
      <sharedItems containsString="0" containsBlank="1" containsNumber="1" minValue="3.61" maxValue="75929.67"/>
    </cacheField>
    <cacheField name="Customer_Type" numFmtId="0">
      <sharedItems containsBlank="1" count="3">
        <s v="Retail"/>
        <s v="Business"/>
        <m/>
      </sharedItems>
    </cacheField>
    <cacheField name="Payment_Method" numFmtId="0">
      <sharedItems containsBlank="1"/>
    </cacheField>
  </cacheFields>
  <extLst>
    <ext xmlns:x14="http://schemas.microsoft.com/office/spreadsheetml/2009/9/main" uri="{725AE2AE-9491-48be-B2B4-4EB974FC3084}">
      <x14:pivotCacheDefinition pivotCacheId="1021589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2001"/>
    <s v="2026-01-17"/>
    <x v="0"/>
    <x v="0"/>
    <x v="0"/>
    <s v="Headphones"/>
    <n v="66"/>
    <n v="75.77"/>
    <n v="5001.0200000000004"/>
    <x v="0"/>
    <s v="Credit Card"/>
  </r>
  <r>
    <n v="2002"/>
    <s v="2026-01-16"/>
    <x v="1"/>
    <x v="1"/>
    <x v="1"/>
    <s v="Bookshelf"/>
    <n v="80"/>
    <n v="183.88"/>
    <n v="14710.8"/>
    <x v="0"/>
    <s v="Cash"/>
  </r>
  <r>
    <n v="2003"/>
    <s v="2026-01-03"/>
    <x v="1"/>
    <x v="0"/>
    <x v="0"/>
    <s v="Headphones"/>
    <n v="15"/>
    <n v="81.93"/>
    <n v="1228.95"/>
    <x v="0"/>
    <s v="Wire"/>
  </r>
  <r>
    <n v="2004"/>
    <s v="2026-03-28"/>
    <x v="2"/>
    <x v="2"/>
    <x v="0"/>
    <s v="Mouse"/>
    <n v="59"/>
    <n v="20.11"/>
    <n v="1186.57"/>
    <x v="1"/>
    <s v="Debit"/>
  </r>
  <r>
    <n v="2263"/>
    <s v="2026-03-06"/>
    <x v="3"/>
    <x v="3"/>
    <x v="0"/>
    <s v="Laptop"/>
    <n v="60"/>
    <n v="882.5"/>
    <n v="52949.98"/>
    <x v="0"/>
    <s v="Cash"/>
  </r>
  <r>
    <n v="2006"/>
    <s v="2026-02-06"/>
    <x v="1"/>
    <x v="4"/>
    <x v="0"/>
    <s v="Tablet"/>
    <n v="11"/>
    <n v="295.12"/>
    <n v="3246.35"/>
    <x v="0"/>
    <s v="Wire"/>
  </r>
  <r>
    <n v="2081"/>
    <s v="2026-02-28"/>
    <x v="3"/>
    <x v="4"/>
    <x v="1"/>
    <s v="Conference Table"/>
    <n v="42"/>
    <n v="861.27"/>
    <n v="36173.440000000002"/>
    <x v="0"/>
    <s v="Cash"/>
  </r>
  <r>
    <n v="2008"/>
    <s v="2026-02-02"/>
    <x v="1"/>
    <x v="3"/>
    <x v="0"/>
    <s v="Headphones"/>
    <n v="31"/>
    <n v="79.98"/>
    <n v="2479.4899999999998"/>
    <x v="0"/>
    <s v="Cash"/>
  </r>
  <r>
    <n v="2009"/>
    <s v="2026-03-17"/>
    <x v="1"/>
    <x v="1"/>
    <x v="1"/>
    <s v="Filing Cabinet"/>
    <n v="17"/>
    <n v="248.21"/>
    <n v="4219.53"/>
    <x v="1"/>
    <s v="Debit"/>
  </r>
  <r>
    <n v="2010"/>
    <s v="2026-01-28"/>
    <x v="1"/>
    <x v="0"/>
    <x v="2"/>
    <s v="Stapler"/>
    <n v="62"/>
    <n v="8.48"/>
    <n v="526"/>
    <x v="0"/>
    <s v="Debit"/>
  </r>
  <r>
    <n v="2027"/>
    <s v="2026-03-13"/>
    <x v="3"/>
    <x v="5"/>
    <x v="0"/>
    <s v="Laptop"/>
    <n v="36"/>
    <n v="947.36"/>
    <n v="34104.97"/>
    <x v="1"/>
    <s v="Wire"/>
  </r>
  <r>
    <n v="2203"/>
    <s v="2026-01-29"/>
    <x v="3"/>
    <x v="1"/>
    <x v="1"/>
    <s v="Desk"/>
    <n v="80"/>
    <n v="360.06"/>
    <n v="28805.14"/>
    <x v="0"/>
    <s v="Wire"/>
  </r>
  <r>
    <n v="2013"/>
    <s v="2026-02-27"/>
    <x v="2"/>
    <x v="3"/>
    <x v="0"/>
    <s v="Keyboard"/>
    <n v="44"/>
    <n v="22.77"/>
    <n v="1002.09"/>
    <x v="0"/>
    <s v="Credit Card"/>
  </r>
  <r>
    <n v="2014"/>
    <s v="2026-01-25"/>
    <x v="0"/>
    <x v="4"/>
    <x v="0"/>
    <s v="Mouse"/>
    <n v="57"/>
    <n v="18.829999999999998"/>
    <n v="1073.3699999999999"/>
    <x v="0"/>
    <s v="Debit"/>
  </r>
  <r>
    <n v="2205"/>
    <s v="2026-03-27"/>
    <x v="3"/>
    <x v="6"/>
    <x v="1"/>
    <s v="Desk"/>
    <n v="67"/>
    <n v="364.9"/>
    <n v="24448.28"/>
    <x v="1"/>
    <s v="Cash"/>
  </r>
  <r>
    <n v="2016"/>
    <s v="2026-02-05"/>
    <x v="0"/>
    <x v="1"/>
    <x v="0"/>
    <s v="Tablet"/>
    <n v="46"/>
    <n v="326.23"/>
    <n v="15006.42"/>
    <x v="0"/>
    <s v="Wire"/>
  </r>
  <r>
    <n v="2017"/>
    <s v="2026-03-27"/>
    <x v="1"/>
    <x v="4"/>
    <x v="0"/>
    <s v="Tablet"/>
    <n v="32"/>
    <n v="304.10000000000002"/>
    <n v="9731.36"/>
    <x v="0"/>
    <s v="Credit Card"/>
  </r>
  <r>
    <n v="2087"/>
    <s v="2026-02-23"/>
    <x v="3"/>
    <x v="7"/>
    <x v="1"/>
    <s v="Conference Table"/>
    <n v="30"/>
    <n v="804.84"/>
    <n v="24145.32"/>
    <x v="0"/>
    <s v="Debit"/>
  </r>
  <r>
    <n v="2198"/>
    <s v="2026-02-04"/>
    <x v="3"/>
    <x v="0"/>
    <x v="1"/>
    <s v="Conference Table"/>
    <n v="26"/>
    <n v="875.17"/>
    <n v="22754.45"/>
    <x v="1"/>
    <s v="Debit"/>
  </r>
  <r>
    <n v="2020"/>
    <s v="2026-02-09"/>
    <x v="0"/>
    <x v="1"/>
    <x v="1"/>
    <s v="Office Chair"/>
    <n v="42"/>
    <n v="108.95"/>
    <n v="4575.95"/>
    <x v="0"/>
    <s v="Wire"/>
  </r>
  <r>
    <n v="2021"/>
    <s v="2026-01-18"/>
    <x v="2"/>
    <x v="1"/>
    <x v="2"/>
    <s v="Pens"/>
    <n v="37"/>
    <n v="1.48"/>
    <n v="54.6"/>
    <x v="1"/>
    <s v="Cash"/>
  </r>
  <r>
    <n v="2022"/>
    <s v="2026-02-14"/>
    <x v="2"/>
    <x v="1"/>
    <x v="1"/>
    <s v="Desk"/>
    <n v="43"/>
    <n v="327.58999999999997"/>
    <n v="14086.19"/>
    <x v="1"/>
    <s v="Wire"/>
  </r>
  <r>
    <n v="2023"/>
    <s v="2026-01-19"/>
    <x v="2"/>
    <x v="2"/>
    <x v="0"/>
    <s v="Keyboard"/>
    <n v="76"/>
    <n v="22.53"/>
    <n v="1712.66"/>
    <x v="0"/>
    <s v="Credit Card"/>
  </r>
  <r>
    <n v="2024"/>
    <s v="2026-02-07"/>
    <x v="1"/>
    <x v="1"/>
    <x v="1"/>
    <s v="Desk"/>
    <n v="23"/>
    <n v="315.72000000000003"/>
    <n v="7261.6"/>
    <x v="0"/>
    <s v="Cash"/>
  </r>
  <r>
    <n v="2142"/>
    <s v="2026-02-20"/>
    <x v="3"/>
    <x v="7"/>
    <x v="1"/>
    <s v="Desk"/>
    <n v="61"/>
    <n v="369.42"/>
    <n v="22534.87"/>
    <x v="0"/>
    <s v="Wire"/>
  </r>
  <r>
    <n v="2026"/>
    <s v="2026-01-26"/>
    <x v="1"/>
    <x v="1"/>
    <x v="2"/>
    <s v="Notebooks"/>
    <n v="80"/>
    <n v="3.03"/>
    <n v="242.8"/>
    <x v="1"/>
    <s v="Cash"/>
  </r>
  <r>
    <n v="2168"/>
    <s v="2026-02-04"/>
    <x v="3"/>
    <x v="5"/>
    <x v="0"/>
    <s v="Tablet"/>
    <n v="77"/>
    <n v="292.62"/>
    <n v="22531.61"/>
    <x v="1"/>
    <s v="Debit"/>
  </r>
  <r>
    <n v="2028"/>
    <s v="2026-01-15"/>
    <x v="0"/>
    <x v="7"/>
    <x v="1"/>
    <s v="Bookshelf"/>
    <n v="66"/>
    <n v="191.9"/>
    <n v="12665.24"/>
    <x v="1"/>
    <s v="Debit"/>
  </r>
  <r>
    <n v="2029"/>
    <s v="2026-03-20"/>
    <x v="0"/>
    <x v="3"/>
    <x v="2"/>
    <s v="Stapler"/>
    <n v="43"/>
    <n v="7.21"/>
    <n v="310.10000000000002"/>
    <x v="1"/>
    <s v="Debit"/>
  </r>
  <r>
    <n v="2030"/>
    <s v="2026-03-22"/>
    <x v="1"/>
    <x v="5"/>
    <x v="1"/>
    <s v="Office Chair"/>
    <n v="63"/>
    <n v="112.14"/>
    <n v="7064.62"/>
    <x v="0"/>
    <s v="Debit"/>
  </r>
  <r>
    <n v="2031"/>
    <s v="2026-01-13"/>
    <x v="1"/>
    <x v="0"/>
    <x v="1"/>
    <s v="Filing Cabinet"/>
    <n v="2"/>
    <n v="264.7"/>
    <n v="529.4"/>
    <x v="1"/>
    <s v="Debit"/>
  </r>
  <r>
    <n v="2032"/>
    <s v="2026-01-13"/>
    <x v="0"/>
    <x v="0"/>
    <x v="1"/>
    <s v="Bookshelf"/>
    <n v="72"/>
    <n v="183.07"/>
    <n v="13181.33"/>
    <x v="1"/>
    <s v="Credit Card"/>
  </r>
  <r>
    <n v="2033"/>
    <s v="2026-01-13"/>
    <x v="2"/>
    <x v="7"/>
    <x v="0"/>
    <s v="Mouse"/>
    <n v="52"/>
    <n v="20.88"/>
    <n v="1085.82"/>
    <x v="1"/>
    <s v="Credit Card"/>
  </r>
  <r>
    <n v="2067"/>
    <s v="2026-02-12"/>
    <x v="3"/>
    <x v="3"/>
    <x v="1"/>
    <s v="Filing Cabinet"/>
    <n v="70"/>
    <n v="266.49"/>
    <n v="18654.61"/>
    <x v="1"/>
    <s v="Debit"/>
  </r>
  <r>
    <n v="2035"/>
    <s v="2026-01-30"/>
    <x v="0"/>
    <x v="1"/>
    <x v="2"/>
    <s v="Printer Paper"/>
    <n v="5"/>
    <n v="5.89"/>
    <n v="29.44"/>
    <x v="0"/>
    <s v="Credit Card"/>
  </r>
  <r>
    <n v="2036"/>
    <s v="2026-03-19"/>
    <x v="1"/>
    <x v="4"/>
    <x v="1"/>
    <s v="Conference Table"/>
    <n v="63"/>
    <n v="777.51"/>
    <n v="48982.99"/>
    <x v="1"/>
    <s v="Debit"/>
  </r>
  <r>
    <n v="2037"/>
    <s v="2026-03-23"/>
    <x v="2"/>
    <x v="0"/>
    <x v="2"/>
    <s v="Stapler"/>
    <n v="21"/>
    <n v="8.4499999999999993"/>
    <n v="177.44"/>
    <x v="0"/>
    <s v="Cash"/>
  </r>
  <r>
    <n v="2038"/>
    <s v="2026-02-09"/>
    <x v="1"/>
    <x v="6"/>
    <x v="2"/>
    <s v="Notebooks"/>
    <n v="66"/>
    <n v="2.93"/>
    <n v="193.45"/>
    <x v="1"/>
    <s v="Credit Card"/>
  </r>
  <r>
    <n v="2039"/>
    <s v="2026-02-28"/>
    <x v="1"/>
    <x v="3"/>
    <x v="1"/>
    <s v="Conference Table"/>
    <n v="44"/>
    <n v="872.96"/>
    <n v="38410.050000000003"/>
    <x v="0"/>
    <s v="Wire"/>
  </r>
  <r>
    <n v="2244"/>
    <s v="2026-03-21"/>
    <x v="3"/>
    <x v="2"/>
    <x v="1"/>
    <s v="Desk"/>
    <n v="49"/>
    <n v="364.43"/>
    <n v="17857.3"/>
    <x v="0"/>
    <s v="Debit"/>
  </r>
  <r>
    <n v="2228"/>
    <s v="2026-01-03"/>
    <x v="3"/>
    <x v="6"/>
    <x v="0"/>
    <s v="Tablet"/>
    <n v="60"/>
    <n v="295.67"/>
    <n v="17740.11"/>
    <x v="0"/>
    <s v="Credit Card"/>
  </r>
  <r>
    <n v="2042"/>
    <s v="2026-01-29"/>
    <x v="2"/>
    <x v="6"/>
    <x v="1"/>
    <s v="Bookshelf"/>
    <n v="75"/>
    <n v="219.16"/>
    <n v="16437.080000000002"/>
    <x v="1"/>
    <s v="Wire"/>
  </r>
  <r>
    <n v="2051"/>
    <s v="2026-03-25"/>
    <x v="3"/>
    <x v="0"/>
    <x v="1"/>
    <s v="Desk"/>
    <n v="47"/>
    <n v="357.11"/>
    <n v="16784.23"/>
    <x v="1"/>
    <s v="Debit"/>
  </r>
  <r>
    <n v="2044"/>
    <s v="2026-01-22"/>
    <x v="0"/>
    <x v="1"/>
    <x v="1"/>
    <s v="Desk"/>
    <n v="29"/>
    <n v="367.57"/>
    <n v="10659.45"/>
    <x v="1"/>
    <s v="Cash"/>
  </r>
  <r>
    <n v="2120"/>
    <s v="2026-02-06"/>
    <x v="3"/>
    <x v="5"/>
    <x v="0"/>
    <s v="Laptop"/>
    <n v="17"/>
    <n v="819.18"/>
    <n v="13926.03"/>
    <x v="1"/>
    <s v="Debit"/>
  </r>
  <r>
    <n v="2007"/>
    <s v="2026-01-22"/>
    <x v="3"/>
    <x v="0"/>
    <x v="1"/>
    <s v="Bookshelf"/>
    <n v="68"/>
    <n v="197.97"/>
    <n v="13461.99"/>
    <x v="1"/>
    <s v="Cash"/>
  </r>
  <r>
    <n v="2285"/>
    <s v="2026-01-07"/>
    <x v="3"/>
    <x v="1"/>
    <x v="0"/>
    <s v="Monitor"/>
    <n v="68"/>
    <n v="195.91"/>
    <n v="13321.64"/>
    <x v="0"/>
    <s v="Credit Card"/>
  </r>
  <r>
    <n v="2048"/>
    <s v="2026-03-04"/>
    <x v="1"/>
    <x v="1"/>
    <x v="2"/>
    <s v="Printer Paper"/>
    <n v="56"/>
    <n v="6.01"/>
    <n v="336.61"/>
    <x v="0"/>
    <s v="Credit Card"/>
  </r>
  <r>
    <n v="2049"/>
    <s v="2026-02-15"/>
    <x v="2"/>
    <x v="3"/>
    <x v="0"/>
    <s v="Tablet"/>
    <n v="11"/>
    <n v="317.58"/>
    <n v="3493.43"/>
    <x v="1"/>
    <s v="Debit"/>
  </r>
  <r>
    <n v="2253"/>
    <s v="2026-01-14"/>
    <x v="3"/>
    <x v="7"/>
    <x v="1"/>
    <s v="Filing Cabinet"/>
    <n v="54"/>
    <n v="246.23"/>
    <n v="13296.61"/>
    <x v="0"/>
    <s v="Wire"/>
  </r>
  <r>
    <n v="2060"/>
    <s v="2026-01-03"/>
    <x v="3"/>
    <x v="4"/>
    <x v="0"/>
    <s v="Laptop"/>
    <n v="14"/>
    <n v="917.18"/>
    <n v="12840.56"/>
    <x v="1"/>
    <s v="Wire"/>
  </r>
  <r>
    <n v="2052"/>
    <s v="2026-03-14"/>
    <x v="1"/>
    <x v="1"/>
    <x v="2"/>
    <s v="Printer Paper"/>
    <n v="21"/>
    <n v="5.72"/>
    <n v="120.07"/>
    <x v="0"/>
    <s v="Wire"/>
  </r>
  <r>
    <n v="2111"/>
    <s v="2026-02-04"/>
    <x v="3"/>
    <x v="0"/>
    <x v="1"/>
    <s v="Conference Table"/>
    <n v="15"/>
    <n v="848.98"/>
    <n v="12734.75"/>
    <x v="1"/>
    <s v="Debit"/>
  </r>
  <r>
    <n v="2166"/>
    <s v="2026-02-07"/>
    <x v="3"/>
    <x v="6"/>
    <x v="0"/>
    <s v="Tablet"/>
    <n v="47"/>
    <n v="270.70999999999998"/>
    <n v="12723.37"/>
    <x v="0"/>
    <s v="Wire"/>
  </r>
  <r>
    <n v="2055"/>
    <s v="2026-01-11"/>
    <x v="2"/>
    <x v="1"/>
    <x v="2"/>
    <s v="Printer Paper"/>
    <n v="76"/>
    <n v="6.11"/>
    <n v="464.71"/>
    <x v="0"/>
    <s v="Cash"/>
  </r>
  <r>
    <n v="2034"/>
    <s v="2026-02-27"/>
    <x v="3"/>
    <x v="4"/>
    <x v="1"/>
    <s v="Desk"/>
    <n v="33"/>
    <n v="362"/>
    <n v="11945.96"/>
    <x v="0"/>
    <s v="Wire"/>
  </r>
  <r>
    <n v="2057"/>
    <s v="2026-01-24"/>
    <x v="2"/>
    <x v="5"/>
    <x v="2"/>
    <s v="Stapler"/>
    <n v="78"/>
    <n v="8.02"/>
    <n v="625.57000000000005"/>
    <x v="1"/>
    <s v="Cash"/>
  </r>
  <r>
    <n v="2058"/>
    <s v="2026-03-25"/>
    <x v="2"/>
    <x v="5"/>
    <x v="2"/>
    <s v="Stapler"/>
    <n v="8"/>
    <n v="8.76"/>
    <n v="70.069999999999993"/>
    <x v="1"/>
    <s v="Credit Card"/>
  </r>
  <r>
    <n v="2059"/>
    <s v="2026-03-25"/>
    <x v="2"/>
    <x v="2"/>
    <x v="0"/>
    <s v="Mouse"/>
    <n v="24"/>
    <n v="19.29"/>
    <n v="463.02"/>
    <x v="0"/>
    <s v="Wire"/>
  </r>
  <r>
    <n v="2193"/>
    <s v="2026-01-05"/>
    <x v="3"/>
    <x v="4"/>
    <x v="0"/>
    <s v="Monitor"/>
    <n v="66"/>
    <n v="163.9"/>
    <n v="10817.59"/>
    <x v="1"/>
    <s v="Wire"/>
  </r>
  <r>
    <n v="2235"/>
    <s v="2026-02-14"/>
    <x v="3"/>
    <x v="2"/>
    <x v="0"/>
    <s v="Monitor"/>
    <n v="55"/>
    <n v="188.4"/>
    <n v="10361.99"/>
    <x v="1"/>
    <s v="Cash"/>
  </r>
  <r>
    <n v="2062"/>
    <s v="2026-02-04"/>
    <x v="1"/>
    <x v="2"/>
    <x v="0"/>
    <s v="Tablet"/>
    <n v="46"/>
    <n v="293.64"/>
    <n v="13507.63"/>
    <x v="0"/>
    <s v="Debit"/>
  </r>
  <r>
    <n v="2100"/>
    <s v="2026-03-14"/>
    <x v="3"/>
    <x v="5"/>
    <x v="1"/>
    <s v="Desk"/>
    <n v="30"/>
    <n v="344.11"/>
    <n v="10323.200000000001"/>
    <x v="1"/>
    <s v="Credit Card"/>
  </r>
  <r>
    <n v="2064"/>
    <s v="2026-01-27"/>
    <x v="0"/>
    <x v="4"/>
    <x v="2"/>
    <s v="Printer Paper"/>
    <n v="3"/>
    <n v="6.08"/>
    <n v="18.239999999999998"/>
    <x v="0"/>
    <s v="Cash"/>
  </r>
  <r>
    <n v="2065"/>
    <s v="2026-01-07"/>
    <x v="0"/>
    <x v="1"/>
    <x v="0"/>
    <s v="Laptop"/>
    <n v="51"/>
    <n v="883.18"/>
    <n v="45042.09"/>
    <x v="0"/>
    <s v="Cash"/>
  </r>
  <r>
    <n v="2045"/>
    <s v="2026-01-22"/>
    <x v="3"/>
    <x v="6"/>
    <x v="1"/>
    <s v="Office Chair"/>
    <n v="60"/>
    <n v="131.07"/>
    <n v="7864.33"/>
    <x v="1"/>
    <s v="Debit"/>
  </r>
  <r>
    <n v="2082"/>
    <s v="2026-02-18"/>
    <x v="3"/>
    <x v="5"/>
    <x v="0"/>
    <s v="Laptop"/>
    <n v="9"/>
    <n v="868.56"/>
    <n v="7817.07"/>
    <x v="0"/>
    <s v="Debit"/>
  </r>
  <r>
    <n v="2068"/>
    <s v="2026-03-07"/>
    <x v="0"/>
    <x v="4"/>
    <x v="1"/>
    <s v="Office Chair"/>
    <n v="61"/>
    <n v="115.14"/>
    <n v="7023.42"/>
    <x v="1"/>
    <s v="Debit"/>
  </r>
  <r>
    <n v="2069"/>
    <s v="2026-03-07"/>
    <x v="2"/>
    <x v="0"/>
    <x v="2"/>
    <s v="Printer Paper"/>
    <n v="49"/>
    <n v="5.73"/>
    <n v="280.93"/>
    <x v="0"/>
    <s v="Credit Card"/>
  </r>
  <r>
    <n v="2070"/>
    <s v="2026-02-27"/>
    <x v="0"/>
    <x v="7"/>
    <x v="2"/>
    <s v="Stapler"/>
    <n v="6"/>
    <n v="8.68"/>
    <n v="52.08"/>
    <x v="1"/>
    <s v="Debit"/>
  </r>
  <r>
    <n v="2194"/>
    <s v="2026-03-13"/>
    <x v="3"/>
    <x v="2"/>
    <x v="1"/>
    <s v="Filing Cabinet"/>
    <n v="32"/>
    <n v="240.25"/>
    <n v="7688.07"/>
    <x v="0"/>
    <s v="Credit Card"/>
  </r>
  <r>
    <n v="2072"/>
    <s v="2026-01-15"/>
    <x v="1"/>
    <x v="6"/>
    <x v="1"/>
    <s v="Filing Cabinet"/>
    <n v="28"/>
    <n v="258.91000000000003"/>
    <n v="7249.45"/>
    <x v="0"/>
    <s v="Debit"/>
  </r>
  <r>
    <n v="2073"/>
    <s v="2026-02-27"/>
    <x v="0"/>
    <x v="0"/>
    <x v="1"/>
    <s v="Filing Cabinet"/>
    <n v="47"/>
    <n v="257.08"/>
    <n v="12082.91"/>
    <x v="0"/>
    <s v="Credit Card"/>
  </r>
  <r>
    <n v="2074"/>
    <s v="2026-03-01"/>
    <x v="0"/>
    <x v="2"/>
    <x v="2"/>
    <s v="Markers"/>
    <n v="71"/>
    <n v="4.25"/>
    <n v="301.41000000000003"/>
    <x v="1"/>
    <s v="Credit Card"/>
  </r>
  <r>
    <n v="2075"/>
    <s v="2026-03-29"/>
    <x v="0"/>
    <x v="6"/>
    <x v="1"/>
    <s v="Conference Table"/>
    <n v="50"/>
    <n v="771.16"/>
    <n v="38557.839999999997"/>
    <x v="0"/>
    <s v="Wire"/>
  </r>
  <r>
    <n v="2076"/>
    <s v="2026-03-07"/>
    <x v="1"/>
    <x v="0"/>
    <x v="0"/>
    <s v="Tablet"/>
    <n v="29"/>
    <n v="306.77"/>
    <n v="8896.2800000000007"/>
    <x v="1"/>
    <s v="Wire"/>
  </r>
  <r>
    <n v="2077"/>
    <s v="2026-02-07"/>
    <x v="2"/>
    <x v="0"/>
    <x v="0"/>
    <s v="Tablet"/>
    <n v="65"/>
    <n v="312.29000000000002"/>
    <n v="20298.849999999999"/>
    <x v="1"/>
    <s v="Cash"/>
  </r>
  <r>
    <n v="2078"/>
    <s v="2026-01-18"/>
    <x v="2"/>
    <x v="4"/>
    <x v="1"/>
    <s v="Office Chair"/>
    <n v="37"/>
    <n v="114.84"/>
    <n v="4249.08"/>
    <x v="1"/>
    <s v="Cash"/>
  </r>
  <r>
    <n v="2079"/>
    <s v="2026-01-05"/>
    <x v="2"/>
    <x v="2"/>
    <x v="1"/>
    <s v="Office Chair"/>
    <n v="60"/>
    <n v="115.66"/>
    <n v="6939.47"/>
    <x v="0"/>
    <s v="Wire"/>
  </r>
  <r>
    <n v="2080"/>
    <s v="2026-02-05"/>
    <x v="2"/>
    <x v="4"/>
    <x v="0"/>
    <s v="Monitor"/>
    <n v="30"/>
    <n v="184.11"/>
    <n v="5523.31"/>
    <x v="0"/>
    <s v="Credit Card"/>
  </r>
  <r>
    <n v="2046"/>
    <s v="2026-01-09"/>
    <x v="3"/>
    <x v="0"/>
    <x v="0"/>
    <s v="Monitor"/>
    <n v="41"/>
    <n v="177.79"/>
    <n v="7289.4"/>
    <x v="0"/>
    <s v="Wire"/>
  </r>
  <r>
    <n v="2220"/>
    <s v="2026-03-24"/>
    <x v="3"/>
    <x v="0"/>
    <x v="1"/>
    <s v="Desk"/>
    <n v="15"/>
    <n v="357.96"/>
    <n v="5369.35"/>
    <x v="0"/>
    <s v="Debit"/>
  </r>
  <r>
    <n v="2083"/>
    <s v="2026-01-21"/>
    <x v="1"/>
    <x v="3"/>
    <x v="1"/>
    <s v="Office Chair"/>
    <n v="19"/>
    <n v="120.19"/>
    <n v="2283.56"/>
    <x v="1"/>
    <s v="Debit"/>
  </r>
  <r>
    <n v="2084"/>
    <s v="2026-01-19"/>
    <x v="2"/>
    <x v="5"/>
    <x v="2"/>
    <s v="Stapler"/>
    <n v="11"/>
    <n v="7.86"/>
    <n v="86.46"/>
    <x v="0"/>
    <s v="Debit"/>
  </r>
  <r>
    <n v="2085"/>
    <s v="2026-03-07"/>
    <x v="0"/>
    <x v="7"/>
    <x v="0"/>
    <s v="Mouse"/>
    <n v="12"/>
    <n v="20.91"/>
    <n v="250.86"/>
    <x v="1"/>
    <s v="Cash"/>
  </r>
  <r>
    <n v="2086"/>
    <s v="2026-02-03"/>
    <x v="0"/>
    <x v="1"/>
    <x v="2"/>
    <s v="Printer Paper"/>
    <n v="64"/>
    <n v="6.42"/>
    <n v="411"/>
    <x v="1"/>
    <s v="Cash"/>
  </r>
  <r>
    <n v="2061"/>
    <s v="2026-03-01"/>
    <x v="3"/>
    <x v="4"/>
    <x v="1"/>
    <s v="Office Chair"/>
    <n v="44"/>
    <n v="110.37"/>
    <n v="4856.42"/>
    <x v="0"/>
    <s v="Cash"/>
  </r>
  <r>
    <n v="2088"/>
    <s v="2026-01-11"/>
    <x v="2"/>
    <x v="0"/>
    <x v="1"/>
    <s v="Filing Cabinet"/>
    <n v="2"/>
    <n v="258.82"/>
    <n v="517.65"/>
    <x v="1"/>
    <s v="Cash"/>
  </r>
  <r>
    <n v="2132"/>
    <s v="2026-02-13"/>
    <x v="3"/>
    <x v="2"/>
    <x v="0"/>
    <s v="Webcam"/>
    <n v="79"/>
    <n v="58.2"/>
    <n v="4598.1499999999996"/>
    <x v="0"/>
    <s v="Cash"/>
  </r>
  <r>
    <n v="2090"/>
    <s v="2026-03-03"/>
    <x v="2"/>
    <x v="6"/>
    <x v="2"/>
    <s v="Printer Paper"/>
    <n v="29"/>
    <n v="6.1"/>
    <n v="177.04"/>
    <x v="1"/>
    <s v="Wire"/>
  </r>
  <r>
    <n v="2091"/>
    <s v="2026-03-04"/>
    <x v="2"/>
    <x v="1"/>
    <x v="0"/>
    <s v="Keyboard"/>
    <n v="44"/>
    <n v="23.98"/>
    <n v="1055.06"/>
    <x v="0"/>
    <s v="Credit Card"/>
  </r>
  <r>
    <n v="2092"/>
    <s v="2026-02-03"/>
    <x v="1"/>
    <x v="1"/>
    <x v="0"/>
    <s v="Mouse"/>
    <n v="74"/>
    <n v="19.3"/>
    <n v="1427.94"/>
    <x v="1"/>
    <s v="Credit Card"/>
  </r>
  <r>
    <n v="2232"/>
    <s v="2026-02-22"/>
    <x v="3"/>
    <x v="7"/>
    <x v="1"/>
    <s v="Desk"/>
    <n v="13"/>
    <n v="352.03"/>
    <n v="4576.33"/>
    <x v="1"/>
    <s v="Debit"/>
  </r>
  <r>
    <n v="2094"/>
    <s v="2026-01-20"/>
    <x v="2"/>
    <x v="5"/>
    <x v="1"/>
    <s v="Desk"/>
    <n v="21"/>
    <n v="376.4"/>
    <n v="7904.46"/>
    <x v="0"/>
    <s v="Debit"/>
  </r>
  <r>
    <n v="2095"/>
    <s v="2026-01-02"/>
    <x v="2"/>
    <x v="0"/>
    <x v="2"/>
    <s v="Printer Paper"/>
    <n v="44"/>
    <n v="6.08"/>
    <n v="267.32"/>
    <x v="0"/>
    <s v="Debit"/>
  </r>
  <r>
    <n v="2096"/>
    <s v="2026-02-10"/>
    <x v="2"/>
    <x v="2"/>
    <x v="1"/>
    <s v="Conference Table"/>
    <n v="72"/>
    <n v="877.35"/>
    <n v="63169.4"/>
    <x v="0"/>
    <s v="Debit"/>
  </r>
  <r>
    <n v="2097"/>
    <s v="2026-03-20"/>
    <x v="2"/>
    <x v="0"/>
    <x v="1"/>
    <s v="Filing Cabinet"/>
    <n v="37"/>
    <n v="227.49"/>
    <n v="8417.0400000000009"/>
    <x v="1"/>
    <s v="Wire"/>
  </r>
  <r>
    <n v="2098"/>
    <s v="2026-01-05"/>
    <x v="1"/>
    <x v="7"/>
    <x v="1"/>
    <s v="Bookshelf"/>
    <n v="70"/>
    <n v="180.41"/>
    <n v="12628.41"/>
    <x v="1"/>
    <s v="Debit"/>
  </r>
  <r>
    <n v="2099"/>
    <s v="2026-01-25"/>
    <x v="0"/>
    <x v="4"/>
    <x v="0"/>
    <s v="Mouse"/>
    <n v="16"/>
    <n v="20.84"/>
    <n v="333.42"/>
    <x v="1"/>
    <s v="Credit Card"/>
  </r>
  <r>
    <n v="2043"/>
    <s v="2026-02-17"/>
    <x v="3"/>
    <x v="4"/>
    <x v="1"/>
    <s v="Filing Cabinet"/>
    <n v="19"/>
    <n v="237.9"/>
    <n v="4520.1000000000004"/>
    <x v="1"/>
    <s v="Credit Card"/>
  </r>
  <r>
    <n v="2101"/>
    <s v="2026-04-01"/>
    <x v="2"/>
    <x v="3"/>
    <x v="2"/>
    <s v="Printer Paper"/>
    <n v="23"/>
    <n v="6.51"/>
    <n v="149.63"/>
    <x v="1"/>
    <s v="Credit Card"/>
  </r>
  <r>
    <n v="2102"/>
    <s v="2026-01-09"/>
    <x v="2"/>
    <x v="2"/>
    <x v="1"/>
    <s v="Office Chair"/>
    <n v="44"/>
    <n v="125.5"/>
    <n v="5521.98"/>
    <x v="1"/>
    <s v="Debit"/>
  </r>
  <r>
    <n v="2103"/>
    <s v="2026-01-08"/>
    <x v="2"/>
    <x v="7"/>
    <x v="1"/>
    <s v="Office Chair"/>
    <n v="65"/>
    <n v="118.49"/>
    <n v="7701.53"/>
    <x v="0"/>
    <s v="Credit Card"/>
  </r>
  <r>
    <n v="2104"/>
    <s v="2026-03-11"/>
    <x v="0"/>
    <x v="3"/>
    <x v="2"/>
    <s v="Stapler"/>
    <n v="53"/>
    <n v="7.3"/>
    <n v="386.92"/>
    <x v="1"/>
    <s v="Debit"/>
  </r>
  <r>
    <n v="2105"/>
    <s v="2026-02-18"/>
    <x v="2"/>
    <x v="3"/>
    <x v="0"/>
    <s v="Headphones"/>
    <n v="2"/>
    <n v="72.819999999999993"/>
    <n v="145.63999999999999"/>
    <x v="1"/>
    <s v="Wire"/>
  </r>
  <r>
    <n v="2106"/>
    <s v="2026-02-10"/>
    <x v="0"/>
    <x v="7"/>
    <x v="2"/>
    <s v="Pens"/>
    <n v="79"/>
    <n v="1.63"/>
    <n v="129.04"/>
    <x v="0"/>
    <s v="Debit"/>
  </r>
  <r>
    <n v="2107"/>
    <s v="2026-01-04"/>
    <x v="2"/>
    <x v="7"/>
    <x v="1"/>
    <s v="Filing Cabinet"/>
    <n v="28"/>
    <n v="267.05"/>
    <n v="7477.41"/>
    <x v="0"/>
    <s v="Credit Card"/>
  </r>
  <r>
    <n v="2005"/>
    <s v="2026-01-16"/>
    <x v="3"/>
    <x v="6"/>
    <x v="1"/>
    <s v="Office Chair"/>
    <n v="34"/>
    <n v="124.15"/>
    <n v="4221.08"/>
    <x v="1"/>
    <s v="Credit Card"/>
  </r>
  <r>
    <n v="2109"/>
    <s v="2026-03-08"/>
    <x v="1"/>
    <x v="0"/>
    <x v="0"/>
    <s v="Webcam"/>
    <n v="39"/>
    <n v="61.1"/>
    <n v="2382.92"/>
    <x v="0"/>
    <s v="Credit Card"/>
  </r>
  <r>
    <n v="2110"/>
    <s v="2026-02-15"/>
    <x v="0"/>
    <x v="1"/>
    <x v="0"/>
    <s v="Keyboard"/>
    <n v="74"/>
    <n v="25.48"/>
    <n v="1885.57"/>
    <x v="1"/>
    <s v="Wire"/>
  </r>
  <r>
    <n v="2172"/>
    <s v="2026-03-23"/>
    <x v="3"/>
    <x v="3"/>
    <x v="0"/>
    <s v="Headphones"/>
    <n v="61"/>
    <n v="67.8"/>
    <n v="4135.82"/>
    <x v="0"/>
    <s v="Cash"/>
  </r>
  <r>
    <n v="2112"/>
    <s v="2026-01-08"/>
    <x v="0"/>
    <x v="7"/>
    <x v="1"/>
    <s v="Filing Cabinet"/>
    <n v="43"/>
    <n v="229.83"/>
    <n v="9882.5499999999993"/>
    <x v="0"/>
    <s v="Credit Card"/>
  </r>
  <r>
    <n v="2113"/>
    <s v="2026-02-02"/>
    <x v="2"/>
    <x v="0"/>
    <x v="1"/>
    <s v="Office Chair"/>
    <n v="71"/>
    <n v="127.5"/>
    <n v="9052.51"/>
    <x v="0"/>
    <s v="Cash"/>
  </r>
  <r>
    <n v="2114"/>
    <s v="2026-03-06"/>
    <x v="2"/>
    <x v="3"/>
    <x v="2"/>
    <s v="Markers"/>
    <n v="31"/>
    <n v="3.63"/>
    <n v="112.66"/>
    <x v="0"/>
    <s v="Cash"/>
  </r>
  <r>
    <n v="2115"/>
    <s v="2026-01-01"/>
    <x v="2"/>
    <x v="0"/>
    <x v="2"/>
    <s v="Markers"/>
    <n v="38"/>
    <n v="3.82"/>
    <n v="145.32"/>
    <x v="1"/>
    <s v="Cash"/>
  </r>
  <r>
    <n v="2116"/>
    <s v="2026-03-01"/>
    <x v="0"/>
    <x v="7"/>
    <x v="2"/>
    <s v="Notebooks"/>
    <n v="67"/>
    <n v="3.14"/>
    <n v="210.6"/>
    <x v="1"/>
    <s v="Cash"/>
  </r>
  <r>
    <n v="2117"/>
    <s v="2026-03-12"/>
    <x v="2"/>
    <x v="1"/>
    <x v="0"/>
    <s v="Monitor"/>
    <n v="33"/>
    <n v="164.37"/>
    <n v="5424.24"/>
    <x v="1"/>
    <s v="Wire"/>
  </r>
  <r>
    <n v="2118"/>
    <s v="2026-03-10"/>
    <x v="0"/>
    <x v="6"/>
    <x v="0"/>
    <s v="Laptop"/>
    <n v="78"/>
    <n v="973.46"/>
    <n v="75929.67"/>
    <x v="0"/>
    <s v="Wire"/>
  </r>
  <r>
    <n v="2119"/>
    <s v="2026-02-16"/>
    <x v="1"/>
    <x v="2"/>
    <x v="2"/>
    <s v="Pens"/>
    <n v="4"/>
    <n v="1.43"/>
    <n v="5.72"/>
    <x v="1"/>
    <s v="Credit Card"/>
  </r>
  <r>
    <n v="2041"/>
    <s v="2026-02-10"/>
    <x v="3"/>
    <x v="1"/>
    <x v="0"/>
    <s v="Headphones"/>
    <n v="54"/>
    <n v="74.510000000000005"/>
    <n v="4023.8"/>
    <x v="0"/>
    <s v="Wire"/>
  </r>
  <r>
    <n v="2121"/>
    <s v="2026-01-20"/>
    <x v="2"/>
    <x v="0"/>
    <x v="2"/>
    <s v="Printer Paper"/>
    <n v="31"/>
    <n v="5.94"/>
    <n v="184.1"/>
    <x v="1"/>
    <s v="Credit Card"/>
  </r>
  <r>
    <n v="2122"/>
    <s v="2026-04-01"/>
    <x v="1"/>
    <x v="6"/>
    <x v="0"/>
    <s v="Keyboard"/>
    <n v="62"/>
    <n v="23.46"/>
    <n v="1454.78"/>
    <x v="0"/>
    <s v="Credit Card"/>
  </r>
  <r>
    <n v="2123"/>
    <s v="2026-01-11"/>
    <x v="1"/>
    <x v="7"/>
    <x v="1"/>
    <s v="Bookshelf"/>
    <n v="14"/>
    <n v="193.25"/>
    <n v="2705.46"/>
    <x v="0"/>
    <s v="Cash"/>
  </r>
  <r>
    <n v="2124"/>
    <s v="2026-03-23"/>
    <x v="0"/>
    <x v="4"/>
    <x v="2"/>
    <s v="Printer Paper"/>
    <n v="42"/>
    <n v="5.57"/>
    <n v="233.94"/>
    <x v="0"/>
    <s v="Cash"/>
  </r>
  <r>
    <n v="2125"/>
    <s v="2026-02-20"/>
    <x v="2"/>
    <x v="6"/>
    <x v="1"/>
    <s v="Filing Cabinet"/>
    <n v="53"/>
    <n v="232.18"/>
    <n v="12305.66"/>
    <x v="0"/>
    <s v="Credit Card"/>
  </r>
  <r>
    <n v="2126"/>
    <s v="2026-01-11"/>
    <x v="2"/>
    <x v="6"/>
    <x v="2"/>
    <s v="Notebooks"/>
    <n v="39"/>
    <n v="2.8"/>
    <n v="109.11"/>
    <x v="1"/>
    <s v="Credit Card"/>
  </r>
  <r>
    <n v="2127"/>
    <s v="2026-02-12"/>
    <x v="1"/>
    <x v="1"/>
    <x v="0"/>
    <s v="Monitor"/>
    <n v="21"/>
    <n v="166.89"/>
    <n v="3504.72"/>
    <x v="0"/>
    <s v="Debit"/>
  </r>
  <r>
    <n v="2050"/>
    <s v="2026-03-07"/>
    <x v="3"/>
    <x v="4"/>
    <x v="0"/>
    <s v="Webcam"/>
    <n v="59"/>
    <n v="65.77"/>
    <n v="3880.28"/>
    <x v="1"/>
    <s v="Cash"/>
  </r>
  <r>
    <n v="2129"/>
    <s v="2026-02-26"/>
    <x v="0"/>
    <x v="2"/>
    <x v="2"/>
    <s v="Pens"/>
    <n v="51"/>
    <n v="1.5"/>
    <n v="76.72"/>
    <x v="1"/>
    <s v="Credit Card"/>
  </r>
  <r>
    <n v="2130"/>
    <s v="2026-03-30"/>
    <x v="1"/>
    <x v="7"/>
    <x v="2"/>
    <s v="Markers"/>
    <n v="1"/>
    <n v="4.22"/>
    <n v="4.22"/>
    <x v="1"/>
    <s v="Wire"/>
  </r>
  <r>
    <n v="2071"/>
    <s v="2026-03-05"/>
    <x v="3"/>
    <x v="3"/>
    <x v="0"/>
    <s v="Webcam"/>
    <n v="65"/>
    <n v="59.14"/>
    <n v="3843.89"/>
    <x v="1"/>
    <s v="Debit"/>
  </r>
  <r>
    <n v="2054"/>
    <s v="2026-02-03"/>
    <x v="3"/>
    <x v="4"/>
    <x v="1"/>
    <s v="Filing Cabinet"/>
    <n v="14"/>
    <n v="273.60000000000002"/>
    <n v="3830.35"/>
    <x v="1"/>
    <s v="Wire"/>
  </r>
  <r>
    <n v="2133"/>
    <s v="2026-01-18"/>
    <x v="2"/>
    <x v="4"/>
    <x v="1"/>
    <s v="Filing Cabinet"/>
    <n v="39"/>
    <n v="231.37"/>
    <n v="9023.5"/>
    <x v="0"/>
    <s v="Debit"/>
  </r>
  <r>
    <n v="2134"/>
    <s v="2026-03-05"/>
    <x v="0"/>
    <x v="0"/>
    <x v="0"/>
    <s v="Laptop"/>
    <n v="22"/>
    <n v="941.42"/>
    <n v="20711.21"/>
    <x v="0"/>
    <s v="Debit"/>
  </r>
  <r>
    <n v="2135"/>
    <s v="2026-02-17"/>
    <x v="1"/>
    <x v="4"/>
    <x v="0"/>
    <s v="Headphones"/>
    <n v="6"/>
    <n v="74.73"/>
    <n v="448.4"/>
    <x v="1"/>
    <s v="Debit"/>
  </r>
  <r>
    <n v="2131"/>
    <s v="2026-03-16"/>
    <x v="3"/>
    <x v="0"/>
    <x v="0"/>
    <s v="Tablet"/>
    <n v="10"/>
    <n v="300.22000000000003"/>
    <n v="3002.25"/>
    <x v="0"/>
    <s v="Credit Card"/>
  </r>
  <r>
    <n v="2137"/>
    <s v="2026-01-23"/>
    <x v="0"/>
    <x v="3"/>
    <x v="2"/>
    <s v="Printer Paper"/>
    <n v="57"/>
    <n v="5.95"/>
    <n v="338.91"/>
    <x v="0"/>
    <s v="Credit Card"/>
  </r>
  <r>
    <n v="2138"/>
    <s v="2026-01-24"/>
    <x v="1"/>
    <x v="1"/>
    <x v="0"/>
    <s v="Tablet"/>
    <n v="76"/>
    <n v="295.58"/>
    <n v="22463.9"/>
    <x v="1"/>
    <s v="Debit"/>
  </r>
  <r>
    <n v="2139"/>
    <s v="2026-03-22"/>
    <x v="0"/>
    <x v="2"/>
    <x v="2"/>
    <s v="Stapler"/>
    <n v="31"/>
    <n v="7.47"/>
    <n v="231.48"/>
    <x v="1"/>
    <s v="Wire"/>
  </r>
  <r>
    <n v="2140"/>
    <s v="2026-02-13"/>
    <x v="2"/>
    <x v="2"/>
    <x v="2"/>
    <s v="Pens"/>
    <n v="76"/>
    <n v="1.59"/>
    <n v="120.58"/>
    <x v="0"/>
    <s v="Debit"/>
  </r>
  <r>
    <n v="2249"/>
    <s v="2026-03-03"/>
    <x v="3"/>
    <x v="1"/>
    <x v="0"/>
    <s v="Webcam"/>
    <n v="45"/>
    <n v="63.1"/>
    <n v="2839.42"/>
    <x v="0"/>
    <s v="Wire"/>
  </r>
  <r>
    <n v="2260"/>
    <s v="2026-01-02"/>
    <x v="3"/>
    <x v="6"/>
    <x v="1"/>
    <s v="Filing Cabinet"/>
    <n v="10"/>
    <n v="267.64"/>
    <n v="2676.36"/>
    <x v="0"/>
    <s v="Wire"/>
  </r>
  <r>
    <n v="2241"/>
    <s v="2026-03-04"/>
    <x v="3"/>
    <x v="0"/>
    <x v="0"/>
    <s v="Keyboard"/>
    <n v="79"/>
    <n v="26.54"/>
    <n v="2096.9699999999998"/>
    <x v="1"/>
    <s v="Cash"/>
  </r>
  <r>
    <n v="2144"/>
    <s v="2026-01-03"/>
    <x v="1"/>
    <x v="3"/>
    <x v="1"/>
    <s v="Filing Cabinet"/>
    <n v="61"/>
    <n v="262.89"/>
    <n v="16036.45"/>
    <x v="0"/>
    <s v="Debit"/>
  </r>
  <r>
    <n v="2145"/>
    <s v="2026-03-19"/>
    <x v="2"/>
    <x v="3"/>
    <x v="1"/>
    <s v="Bookshelf"/>
    <n v="80"/>
    <n v="217.4"/>
    <n v="17391.72"/>
    <x v="0"/>
    <s v="Wire"/>
  </r>
  <r>
    <n v="2146"/>
    <s v="2026-01-07"/>
    <x v="2"/>
    <x v="3"/>
    <x v="2"/>
    <s v="Notebooks"/>
    <n v="11"/>
    <n v="2.79"/>
    <n v="30.65"/>
    <x v="0"/>
    <s v="Cash"/>
  </r>
  <r>
    <n v="2147"/>
    <s v="2026-01-28"/>
    <x v="0"/>
    <x v="4"/>
    <x v="2"/>
    <s v="Markers"/>
    <n v="42"/>
    <n v="4.09"/>
    <n v="171.66"/>
    <x v="1"/>
    <s v="Cash"/>
  </r>
  <r>
    <n v="2148"/>
    <s v="2026-01-02"/>
    <x v="0"/>
    <x v="1"/>
    <x v="2"/>
    <s v="Notebooks"/>
    <n v="28"/>
    <n v="3.07"/>
    <n v="85.93"/>
    <x v="0"/>
    <s v="Wire"/>
  </r>
  <r>
    <n v="2149"/>
    <s v="2026-03-09"/>
    <x v="2"/>
    <x v="4"/>
    <x v="1"/>
    <s v="Filing Cabinet"/>
    <n v="4"/>
    <n v="237.63"/>
    <n v="950.5"/>
    <x v="0"/>
    <s v="Credit Card"/>
  </r>
  <r>
    <n v="2150"/>
    <s v="2026-03-01"/>
    <x v="1"/>
    <x v="7"/>
    <x v="0"/>
    <s v="Tablet"/>
    <n v="46"/>
    <n v="313.2"/>
    <n v="14407.2"/>
    <x v="0"/>
    <s v="Wire"/>
  </r>
  <r>
    <n v="2151"/>
    <s v="2026-03-21"/>
    <x v="0"/>
    <x v="7"/>
    <x v="1"/>
    <s v="Desk"/>
    <n v="73"/>
    <n v="332.38"/>
    <n v="24263.7"/>
    <x v="0"/>
    <s v="Wire"/>
  </r>
  <r>
    <n v="2152"/>
    <s v="2026-01-22"/>
    <x v="2"/>
    <x v="5"/>
    <x v="1"/>
    <s v="Office Chair"/>
    <n v="16"/>
    <n v="127.61"/>
    <n v="2041.78"/>
    <x v="1"/>
    <s v="Cash"/>
  </r>
  <r>
    <n v="2153"/>
    <s v="2026-03-24"/>
    <x v="1"/>
    <x v="7"/>
    <x v="2"/>
    <s v="Markers"/>
    <n v="49"/>
    <n v="4.16"/>
    <n v="203.81"/>
    <x v="0"/>
    <s v="Debit"/>
  </r>
  <r>
    <n v="2165"/>
    <s v="2026-01-23"/>
    <x v="3"/>
    <x v="6"/>
    <x v="1"/>
    <s v="Desk"/>
    <n v="5"/>
    <n v="329.35"/>
    <n v="1646.77"/>
    <x v="0"/>
    <s v="Credit Card"/>
  </r>
  <r>
    <n v="2155"/>
    <s v="2026-03-23"/>
    <x v="2"/>
    <x v="0"/>
    <x v="2"/>
    <s v="Markers"/>
    <n v="31"/>
    <n v="3.74"/>
    <n v="115.79"/>
    <x v="0"/>
    <s v="Cash"/>
  </r>
  <r>
    <n v="2156"/>
    <s v="2026-02-08"/>
    <x v="1"/>
    <x v="3"/>
    <x v="1"/>
    <s v="Conference Table"/>
    <n v="31"/>
    <n v="761.44"/>
    <n v="23604.51"/>
    <x v="0"/>
    <s v="Credit Card"/>
  </r>
  <r>
    <n v="2157"/>
    <s v="2026-03-21"/>
    <x v="0"/>
    <x v="7"/>
    <x v="2"/>
    <s v="Printer Paper"/>
    <n v="22"/>
    <n v="6.08"/>
    <n v="133.66999999999999"/>
    <x v="1"/>
    <s v="Credit Card"/>
  </r>
  <r>
    <n v="2158"/>
    <s v="2026-01-08"/>
    <x v="1"/>
    <x v="2"/>
    <x v="2"/>
    <s v="Stapler"/>
    <n v="13"/>
    <n v="8.15"/>
    <n v="105.9"/>
    <x v="0"/>
    <s v="Cash"/>
  </r>
  <r>
    <n v="2159"/>
    <s v="2026-02-10"/>
    <x v="0"/>
    <x v="0"/>
    <x v="2"/>
    <s v="Printer Paper"/>
    <n v="46"/>
    <n v="6.51"/>
    <n v="299.27999999999997"/>
    <x v="1"/>
    <s v="Debit"/>
  </r>
  <r>
    <n v="2108"/>
    <s v="2026-01-24"/>
    <x v="3"/>
    <x v="3"/>
    <x v="0"/>
    <s v="Webcam"/>
    <n v="26"/>
    <n v="63.22"/>
    <n v="1643.82"/>
    <x v="1"/>
    <s v="Wire"/>
  </r>
  <r>
    <n v="2161"/>
    <s v="2026-01-10"/>
    <x v="0"/>
    <x v="0"/>
    <x v="2"/>
    <s v="Notebooks"/>
    <n v="50"/>
    <n v="3.18"/>
    <n v="159.21"/>
    <x v="0"/>
    <s v="Cash"/>
  </r>
  <r>
    <n v="2162"/>
    <s v="2026-03-22"/>
    <x v="1"/>
    <x v="2"/>
    <x v="2"/>
    <s v="Printer Paper"/>
    <n v="46"/>
    <n v="6.19"/>
    <n v="284.91000000000003"/>
    <x v="0"/>
    <s v="Credit Card"/>
  </r>
  <r>
    <n v="2154"/>
    <s v="2026-04-01"/>
    <x v="3"/>
    <x v="1"/>
    <x v="0"/>
    <s v="Keyboard"/>
    <n v="59"/>
    <n v="27.2"/>
    <n v="1605.07"/>
    <x v="1"/>
    <s v="Debit"/>
  </r>
  <r>
    <n v="2164"/>
    <s v="2026-01-16"/>
    <x v="2"/>
    <x v="6"/>
    <x v="1"/>
    <s v="Office Chair"/>
    <n v="21"/>
    <n v="116.49"/>
    <n v="2446.35"/>
    <x v="1"/>
    <s v="Credit Card"/>
  </r>
  <r>
    <n v="2201"/>
    <s v="2026-03-31"/>
    <x v="3"/>
    <x v="0"/>
    <x v="0"/>
    <s v="Mouse"/>
    <n v="71"/>
    <n v="19.600000000000001"/>
    <n v="1391.56"/>
    <x v="0"/>
    <s v="Debit"/>
  </r>
  <r>
    <n v="2243"/>
    <s v="2026-02-24"/>
    <x v="3"/>
    <x v="5"/>
    <x v="0"/>
    <s v="Webcam"/>
    <n v="23"/>
    <n v="60.07"/>
    <n v="1381.54"/>
    <x v="1"/>
    <s v="Debit"/>
  </r>
  <r>
    <n v="2167"/>
    <s v="2026-02-15"/>
    <x v="0"/>
    <x v="3"/>
    <x v="2"/>
    <s v="Printer Paper"/>
    <n v="50"/>
    <n v="6.43"/>
    <n v="321.41000000000003"/>
    <x v="0"/>
    <s v="Credit Card"/>
  </r>
  <r>
    <n v="2141"/>
    <s v="2026-03-14"/>
    <x v="3"/>
    <x v="3"/>
    <x v="0"/>
    <s v="Mouse"/>
    <n v="59"/>
    <n v="20.62"/>
    <n v="1216.45"/>
    <x v="1"/>
    <s v="Debit"/>
  </r>
  <r>
    <n v="2169"/>
    <s v="2026-01-30"/>
    <x v="0"/>
    <x v="2"/>
    <x v="1"/>
    <s v="Office Chair"/>
    <n v="53"/>
    <n v="123.84"/>
    <n v="6563.26"/>
    <x v="0"/>
    <s v="Cash"/>
  </r>
  <r>
    <n v="2170"/>
    <s v="2026-01-17"/>
    <x v="1"/>
    <x v="6"/>
    <x v="2"/>
    <s v="Pens"/>
    <n v="14"/>
    <n v="1.55"/>
    <n v="21.71"/>
    <x v="1"/>
    <s v="Cash"/>
  </r>
  <r>
    <n v="2171"/>
    <s v="2026-02-28"/>
    <x v="1"/>
    <x v="5"/>
    <x v="1"/>
    <s v="Filing Cabinet"/>
    <n v="52"/>
    <n v="257.10000000000002"/>
    <n v="13369.44"/>
    <x v="0"/>
    <s v="Debit"/>
  </r>
  <r>
    <n v="2160"/>
    <s v="2026-01-18"/>
    <x v="3"/>
    <x v="3"/>
    <x v="0"/>
    <s v="Keyboard"/>
    <n v="48"/>
    <n v="24.4"/>
    <n v="1171.1099999999999"/>
    <x v="1"/>
    <s v="Debit"/>
  </r>
  <r>
    <n v="2173"/>
    <s v="2026-01-12"/>
    <x v="2"/>
    <x v="7"/>
    <x v="1"/>
    <s v="Desk"/>
    <n v="1"/>
    <n v="367.9"/>
    <n v="367.9"/>
    <x v="0"/>
    <s v="Wire"/>
  </r>
  <r>
    <n v="2174"/>
    <s v="2026-03-04"/>
    <x v="1"/>
    <x v="1"/>
    <x v="1"/>
    <s v="Filing Cabinet"/>
    <n v="3"/>
    <n v="257.61"/>
    <n v="772.84"/>
    <x v="0"/>
    <s v="Debit"/>
  </r>
  <r>
    <n v="2175"/>
    <s v="2026-01-16"/>
    <x v="1"/>
    <x v="4"/>
    <x v="1"/>
    <s v="Filing Cabinet"/>
    <n v="70"/>
    <n v="237.11"/>
    <n v="16598.04"/>
    <x v="0"/>
    <s v="Cash"/>
  </r>
  <r>
    <n v="2176"/>
    <s v="2026-01-03"/>
    <x v="0"/>
    <x v="6"/>
    <x v="0"/>
    <s v="Mouse"/>
    <n v="13"/>
    <n v="21.4"/>
    <n v="278.24"/>
    <x v="0"/>
    <s v="Wire"/>
  </r>
  <r>
    <n v="2177"/>
    <s v="2026-02-28"/>
    <x v="0"/>
    <x v="1"/>
    <x v="2"/>
    <s v="Notebooks"/>
    <n v="32"/>
    <n v="3.13"/>
    <n v="100.03"/>
    <x v="1"/>
    <s v="Cash"/>
  </r>
  <r>
    <n v="2178"/>
    <s v="2026-01-31"/>
    <x v="0"/>
    <x v="7"/>
    <x v="0"/>
    <s v="Monitor"/>
    <n v="74"/>
    <n v="186.54"/>
    <n v="13804.27"/>
    <x v="1"/>
    <s v="Debit"/>
  </r>
  <r>
    <n v="2179"/>
    <s v="2026-03-10"/>
    <x v="0"/>
    <x v="5"/>
    <x v="2"/>
    <s v="Notebooks"/>
    <n v="73"/>
    <n v="2.71"/>
    <n v="197.81"/>
    <x v="1"/>
    <s v="Cash"/>
  </r>
  <r>
    <n v="2143"/>
    <s v="2026-03-02"/>
    <x v="3"/>
    <x v="3"/>
    <x v="0"/>
    <s v="Webcam"/>
    <n v="18"/>
    <n v="58.05"/>
    <n v="1044.9000000000001"/>
    <x v="1"/>
    <s v="Debit"/>
  </r>
  <r>
    <n v="2181"/>
    <s v="2026-01-14"/>
    <x v="1"/>
    <x v="5"/>
    <x v="2"/>
    <s v="Notebooks"/>
    <n v="54"/>
    <n v="3.04"/>
    <n v="164.28"/>
    <x v="1"/>
    <s v="Debit"/>
  </r>
  <r>
    <n v="2182"/>
    <s v="2026-01-22"/>
    <x v="2"/>
    <x v="2"/>
    <x v="1"/>
    <s v="Bookshelf"/>
    <n v="54"/>
    <n v="213.89"/>
    <n v="11549.92"/>
    <x v="1"/>
    <s v="Cash"/>
  </r>
  <r>
    <n v="2183"/>
    <s v="2026-03-28"/>
    <x v="2"/>
    <x v="7"/>
    <x v="0"/>
    <s v="Headphones"/>
    <n v="49"/>
    <n v="75.900000000000006"/>
    <n v="3718.99"/>
    <x v="1"/>
    <s v="Cash"/>
  </r>
  <r>
    <n v="2184"/>
    <s v="2026-02-09"/>
    <x v="0"/>
    <x v="2"/>
    <x v="0"/>
    <s v="Headphones"/>
    <n v="20"/>
    <n v="69.89"/>
    <n v="1397.86"/>
    <x v="1"/>
    <s v="Credit Card"/>
  </r>
  <r>
    <n v="2185"/>
    <s v="2026-03-09"/>
    <x v="2"/>
    <x v="1"/>
    <x v="0"/>
    <s v="Laptop"/>
    <n v="44"/>
    <n v="873.88"/>
    <n v="38450.699999999997"/>
    <x v="1"/>
    <s v="Credit Card"/>
  </r>
  <r>
    <n v="2186"/>
    <s v="2026-03-17"/>
    <x v="1"/>
    <x v="7"/>
    <x v="2"/>
    <s v="Notebooks"/>
    <n v="72"/>
    <n v="2.85"/>
    <n v="205.01"/>
    <x v="1"/>
    <s v="Cash"/>
  </r>
  <r>
    <n v="2187"/>
    <s v="2026-01-31"/>
    <x v="1"/>
    <x v="5"/>
    <x v="0"/>
    <s v="Keyboard"/>
    <n v="28"/>
    <n v="23.76"/>
    <n v="665.38"/>
    <x v="0"/>
    <s v="Credit Card"/>
  </r>
  <r>
    <n v="2093"/>
    <s v="2026-02-26"/>
    <x v="3"/>
    <x v="6"/>
    <x v="0"/>
    <s v="Keyboard"/>
    <n v="43"/>
    <n v="22.72"/>
    <n v="977.16"/>
    <x v="1"/>
    <s v="Credit Card"/>
  </r>
  <r>
    <n v="2189"/>
    <s v="2026-03-02"/>
    <x v="0"/>
    <x v="7"/>
    <x v="0"/>
    <s v="Laptop"/>
    <n v="4"/>
    <n v="906.8"/>
    <n v="3627.21"/>
    <x v="1"/>
    <s v="Debit"/>
  </r>
  <r>
    <n v="2190"/>
    <s v="2026-01-05"/>
    <x v="2"/>
    <x v="5"/>
    <x v="2"/>
    <s v="Pens"/>
    <n v="62"/>
    <n v="1.57"/>
    <n v="97.15"/>
    <x v="0"/>
    <s v="Cash"/>
  </r>
  <r>
    <n v="2191"/>
    <s v="2026-02-20"/>
    <x v="0"/>
    <x v="3"/>
    <x v="0"/>
    <s v="Monitor"/>
    <n v="73"/>
    <n v="169.9"/>
    <n v="12402.52"/>
    <x v="0"/>
    <s v="Credit Card"/>
  </r>
  <r>
    <n v="2224"/>
    <s v="2026-02-10"/>
    <x v="3"/>
    <x v="3"/>
    <x v="1"/>
    <s v="Conference Table"/>
    <n v="1"/>
    <n v="869.36"/>
    <n v="869.36"/>
    <x v="1"/>
    <s v="Cash"/>
  </r>
  <r>
    <n v="2019"/>
    <s v="2026-03-01"/>
    <x v="3"/>
    <x v="7"/>
    <x v="2"/>
    <s v="Stapler"/>
    <n v="78"/>
    <n v="8.36"/>
    <n v="651.77"/>
    <x v="0"/>
    <s v="Debit"/>
  </r>
  <r>
    <n v="2239"/>
    <s v="2026-01-19"/>
    <x v="3"/>
    <x v="4"/>
    <x v="2"/>
    <s v="Printer Paper"/>
    <n v="79"/>
    <n v="5.95"/>
    <n v="470.22"/>
    <x v="1"/>
    <s v="Wire"/>
  </r>
  <r>
    <n v="2195"/>
    <s v="2026-01-11"/>
    <x v="0"/>
    <x v="6"/>
    <x v="2"/>
    <s v="Printer Paper"/>
    <n v="13"/>
    <n v="6.17"/>
    <n v="80.239999999999995"/>
    <x v="1"/>
    <s v="Wire"/>
  </r>
  <r>
    <n v="2196"/>
    <s v="2026-02-14"/>
    <x v="1"/>
    <x v="3"/>
    <x v="1"/>
    <s v="Bookshelf"/>
    <n v="79"/>
    <n v="202.36"/>
    <n v="15986.37"/>
    <x v="0"/>
    <s v="Credit Card"/>
  </r>
  <r>
    <n v="2197"/>
    <s v="2026-02-03"/>
    <x v="1"/>
    <x v="4"/>
    <x v="1"/>
    <s v="Office Chair"/>
    <n v="9"/>
    <n v="113.26"/>
    <n v="1019.37"/>
    <x v="0"/>
    <s v="Credit Card"/>
  </r>
  <r>
    <n v="2192"/>
    <s v="2026-01-24"/>
    <x v="3"/>
    <x v="5"/>
    <x v="2"/>
    <s v="Printer Paper"/>
    <n v="75"/>
    <n v="5.78"/>
    <n v="433.61"/>
    <x v="0"/>
    <s v="Debit"/>
  </r>
  <r>
    <n v="2199"/>
    <s v="2026-02-03"/>
    <x v="2"/>
    <x v="6"/>
    <x v="0"/>
    <s v="Keyboard"/>
    <n v="73"/>
    <n v="22.5"/>
    <n v="1642.85"/>
    <x v="0"/>
    <s v="Credit Card"/>
  </r>
  <r>
    <n v="2200"/>
    <s v="2026-01-18"/>
    <x v="0"/>
    <x v="2"/>
    <x v="0"/>
    <s v="Webcam"/>
    <n v="3"/>
    <n v="55.25"/>
    <n v="165.75"/>
    <x v="1"/>
    <s v="Credit Card"/>
  </r>
  <r>
    <n v="2163"/>
    <s v="2026-02-19"/>
    <x v="3"/>
    <x v="1"/>
    <x v="2"/>
    <s v="Printer Paper"/>
    <n v="71"/>
    <n v="5.77"/>
    <n v="410.01"/>
    <x v="1"/>
    <s v="Cash"/>
  </r>
  <r>
    <n v="2202"/>
    <s v="2026-03-02"/>
    <x v="2"/>
    <x v="0"/>
    <x v="0"/>
    <s v="Keyboard"/>
    <n v="18"/>
    <n v="24.03"/>
    <n v="432.49"/>
    <x v="0"/>
    <s v="Cash"/>
  </r>
  <r>
    <n v="2216"/>
    <s v="2026-01-06"/>
    <x v="3"/>
    <x v="5"/>
    <x v="0"/>
    <s v="Webcam"/>
    <n v="6"/>
    <n v="58.11"/>
    <n v="348.65"/>
    <x v="1"/>
    <s v="Credit Card"/>
  </r>
  <r>
    <n v="2204"/>
    <s v="2026-03-19"/>
    <x v="0"/>
    <x v="6"/>
    <x v="2"/>
    <s v="Notebooks"/>
    <n v="52"/>
    <n v="2.94"/>
    <n v="152.9"/>
    <x v="1"/>
    <s v="Credit Card"/>
  </r>
  <r>
    <n v="2040"/>
    <s v="2026-01-26"/>
    <x v="3"/>
    <x v="4"/>
    <x v="0"/>
    <s v="Mouse"/>
    <n v="17"/>
    <n v="18.350000000000001"/>
    <n v="311.97000000000003"/>
    <x v="1"/>
    <s v="Credit Card"/>
  </r>
  <r>
    <n v="2206"/>
    <s v="2026-03-28"/>
    <x v="0"/>
    <x v="0"/>
    <x v="2"/>
    <s v="Stapler"/>
    <n v="75"/>
    <n v="8.51"/>
    <n v="638.08000000000004"/>
    <x v="0"/>
    <s v="Credit Card"/>
  </r>
  <r>
    <n v="2207"/>
    <s v="2026-01-06"/>
    <x v="2"/>
    <x v="4"/>
    <x v="1"/>
    <s v="Conference Table"/>
    <n v="18"/>
    <n v="738.51"/>
    <n v="13293.18"/>
    <x v="1"/>
    <s v="Credit Card"/>
  </r>
  <r>
    <n v="2208"/>
    <s v="2026-02-18"/>
    <x v="1"/>
    <x v="0"/>
    <x v="1"/>
    <s v="Conference Table"/>
    <n v="62"/>
    <n v="722.55"/>
    <n v="44797.88"/>
    <x v="1"/>
    <s v="Wire"/>
  </r>
  <r>
    <n v="2231"/>
    <s v="2026-03-13"/>
    <x v="3"/>
    <x v="5"/>
    <x v="2"/>
    <s v="Printer Paper"/>
    <n v="53"/>
    <n v="5.51"/>
    <n v="291.83"/>
    <x v="0"/>
    <s v="Debit"/>
  </r>
  <r>
    <n v="2210"/>
    <s v="2026-03-30"/>
    <x v="1"/>
    <x v="6"/>
    <x v="2"/>
    <s v="Printer Paper"/>
    <n v="69"/>
    <n v="6.43"/>
    <n v="443.58"/>
    <x v="0"/>
    <s v="Credit Card"/>
  </r>
  <r>
    <n v="2211"/>
    <s v="2026-02-07"/>
    <x v="2"/>
    <x v="7"/>
    <x v="0"/>
    <s v="Keyboard"/>
    <n v="55"/>
    <n v="25.2"/>
    <n v="1386.12"/>
    <x v="0"/>
    <s v="Credit Card"/>
  </r>
  <r>
    <n v="2212"/>
    <s v="2026-01-19"/>
    <x v="1"/>
    <x v="7"/>
    <x v="0"/>
    <s v="Mouse"/>
    <n v="27"/>
    <n v="19.670000000000002"/>
    <n v="531.19000000000005"/>
    <x v="0"/>
    <s v="Credit Card"/>
  </r>
  <r>
    <n v="2213"/>
    <s v="2026-01-29"/>
    <x v="2"/>
    <x v="5"/>
    <x v="0"/>
    <s v="Mouse"/>
    <n v="47"/>
    <n v="18.190000000000001"/>
    <n v="854.76"/>
    <x v="1"/>
    <s v="Credit Card"/>
  </r>
  <r>
    <n v="2011"/>
    <s v="2026-02-11"/>
    <x v="3"/>
    <x v="5"/>
    <x v="2"/>
    <s v="Markers"/>
    <n v="74"/>
    <n v="3.74"/>
    <n v="276.99"/>
    <x v="0"/>
    <s v="Cash"/>
  </r>
  <r>
    <n v="2215"/>
    <s v="2026-01-17"/>
    <x v="1"/>
    <x v="2"/>
    <x v="2"/>
    <s v="Notebooks"/>
    <n v="36"/>
    <n v="2.91"/>
    <n v="104.83"/>
    <x v="1"/>
    <s v="Wire"/>
  </r>
  <r>
    <n v="2047"/>
    <s v="2026-03-26"/>
    <x v="3"/>
    <x v="6"/>
    <x v="2"/>
    <s v="Markers"/>
    <n v="66"/>
    <n v="3.87"/>
    <n v="255.19"/>
    <x v="1"/>
    <s v="Credit Card"/>
  </r>
  <r>
    <n v="2217"/>
    <s v="2026-01-09"/>
    <x v="2"/>
    <x v="6"/>
    <x v="1"/>
    <s v="Bookshelf"/>
    <n v="55"/>
    <n v="211.93"/>
    <n v="11655.94"/>
    <x v="1"/>
    <s v="Wire"/>
  </r>
  <r>
    <n v="2218"/>
    <s v="2026-02-07"/>
    <x v="1"/>
    <x v="5"/>
    <x v="2"/>
    <s v="Notebooks"/>
    <n v="26"/>
    <n v="3.14"/>
    <n v="81.63"/>
    <x v="1"/>
    <s v="Cash"/>
  </r>
  <r>
    <n v="2219"/>
    <s v="2026-02-05"/>
    <x v="1"/>
    <x v="0"/>
    <x v="2"/>
    <s v="Notebooks"/>
    <n v="72"/>
    <n v="2.73"/>
    <n v="196.75"/>
    <x v="1"/>
    <s v="Credit Card"/>
  </r>
  <r>
    <n v="2066"/>
    <s v="2026-01-27"/>
    <x v="3"/>
    <x v="4"/>
    <x v="2"/>
    <s v="Markers"/>
    <n v="64"/>
    <n v="3.79"/>
    <n v="242.75"/>
    <x v="1"/>
    <s v="Debit"/>
  </r>
  <r>
    <n v="2221"/>
    <s v="2026-03-04"/>
    <x v="2"/>
    <x v="3"/>
    <x v="2"/>
    <s v="Stapler"/>
    <n v="71"/>
    <n v="8.07"/>
    <n v="572.64"/>
    <x v="1"/>
    <s v="Wire"/>
  </r>
  <r>
    <n v="2222"/>
    <s v="2026-03-16"/>
    <x v="0"/>
    <x v="0"/>
    <x v="2"/>
    <s v="Notebooks"/>
    <n v="80"/>
    <n v="2.9"/>
    <n v="231.77"/>
    <x v="0"/>
    <s v="Cash"/>
  </r>
  <r>
    <n v="2223"/>
    <s v="2026-01-31"/>
    <x v="1"/>
    <x v="6"/>
    <x v="0"/>
    <s v="Mouse"/>
    <n v="52"/>
    <n v="20.11"/>
    <n v="1045.76"/>
    <x v="1"/>
    <s v="Credit Card"/>
  </r>
  <r>
    <n v="2063"/>
    <s v="2026-01-27"/>
    <x v="3"/>
    <x v="0"/>
    <x v="2"/>
    <s v="Notebooks"/>
    <n v="75"/>
    <n v="3.12"/>
    <n v="234.36"/>
    <x v="1"/>
    <s v="Wire"/>
  </r>
  <r>
    <n v="2225"/>
    <s v="2026-03-02"/>
    <x v="0"/>
    <x v="1"/>
    <x v="1"/>
    <s v="Office Chair"/>
    <n v="72"/>
    <n v="110.14"/>
    <n v="7929.85"/>
    <x v="1"/>
    <s v="Credit Card"/>
  </r>
  <r>
    <n v="2226"/>
    <s v="2026-01-06"/>
    <x v="2"/>
    <x v="1"/>
    <x v="2"/>
    <s v="Pens"/>
    <n v="39"/>
    <n v="1.57"/>
    <n v="61.23"/>
    <x v="1"/>
    <s v="Wire"/>
  </r>
  <r>
    <n v="2227"/>
    <s v="2026-02-17"/>
    <x v="0"/>
    <x v="4"/>
    <x v="2"/>
    <s v="Printer Paper"/>
    <n v="34"/>
    <n v="6.3"/>
    <n v="214.07"/>
    <x v="1"/>
    <s v="Cash"/>
  </r>
  <r>
    <n v="2214"/>
    <s v="2026-02-08"/>
    <x v="3"/>
    <x v="2"/>
    <x v="0"/>
    <s v="Mouse"/>
    <n v="10"/>
    <n v="21.93"/>
    <n v="219.3"/>
    <x v="1"/>
    <s v="Wire"/>
  </r>
  <r>
    <n v="2229"/>
    <s v="2026-03-07"/>
    <x v="2"/>
    <x v="0"/>
    <x v="0"/>
    <s v="Monitor"/>
    <n v="29"/>
    <n v="189.91"/>
    <n v="5507.44"/>
    <x v="0"/>
    <s v="Credit Card"/>
  </r>
  <r>
    <n v="2230"/>
    <s v="2026-03-24"/>
    <x v="2"/>
    <x v="3"/>
    <x v="2"/>
    <s v="Markers"/>
    <n v="1"/>
    <n v="3.61"/>
    <n v="3.61"/>
    <x v="1"/>
    <s v="Cash"/>
  </r>
  <r>
    <n v="2209"/>
    <s v="2026-01-16"/>
    <x v="3"/>
    <x v="1"/>
    <x v="2"/>
    <s v="Notebooks"/>
    <n v="68"/>
    <n v="2.71"/>
    <n v="184.4"/>
    <x v="0"/>
    <s v="Debit"/>
  </r>
  <r>
    <n v="2180"/>
    <s v="2026-01-26"/>
    <x v="3"/>
    <x v="5"/>
    <x v="2"/>
    <s v="Notebooks"/>
    <n v="60"/>
    <n v="2.82"/>
    <n v="169.02"/>
    <x v="0"/>
    <s v="Credit Card"/>
  </r>
  <r>
    <n v="2233"/>
    <s v="2026-01-06"/>
    <x v="1"/>
    <x v="6"/>
    <x v="2"/>
    <s v="Stapler"/>
    <n v="20"/>
    <n v="7.56"/>
    <n v="151.13"/>
    <x v="0"/>
    <s v="Wire"/>
  </r>
  <r>
    <n v="2234"/>
    <s v="2026-01-26"/>
    <x v="0"/>
    <x v="6"/>
    <x v="1"/>
    <s v="Bookshelf"/>
    <n v="21"/>
    <n v="216.99"/>
    <n v="4556.6899999999996"/>
    <x v="1"/>
    <s v="Credit Card"/>
  </r>
  <r>
    <n v="2056"/>
    <s v="2026-02-14"/>
    <x v="3"/>
    <x v="6"/>
    <x v="0"/>
    <s v="Mouse"/>
    <n v="8"/>
    <n v="18.12"/>
    <n v="144.97999999999999"/>
    <x v="1"/>
    <s v="Wire"/>
  </r>
  <r>
    <n v="2236"/>
    <s v="2026-03-26"/>
    <x v="1"/>
    <x v="4"/>
    <x v="1"/>
    <s v="Office Chair"/>
    <n v="62"/>
    <n v="118.35"/>
    <n v="7337.63"/>
    <x v="1"/>
    <s v="Cash"/>
  </r>
  <r>
    <n v="2237"/>
    <s v="2026-02-03"/>
    <x v="1"/>
    <x v="7"/>
    <x v="0"/>
    <s v="Keyboard"/>
    <n v="33"/>
    <n v="26.02"/>
    <n v="858.79"/>
    <x v="0"/>
    <s v="Credit Card"/>
  </r>
  <r>
    <n v="2238"/>
    <s v="2026-02-27"/>
    <x v="0"/>
    <x v="1"/>
    <x v="1"/>
    <s v="Filing Cabinet"/>
    <n v="18"/>
    <n v="233.91"/>
    <n v="4210.33"/>
    <x v="0"/>
    <s v="Debit"/>
  </r>
  <r>
    <n v="2012"/>
    <s v="2026-02-07"/>
    <x v="3"/>
    <x v="5"/>
    <x v="2"/>
    <s v="Pens"/>
    <n v="73"/>
    <n v="1.55"/>
    <n v="113.04"/>
    <x v="1"/>
    <s v="Debit"/>
  </r>
  <r>
    <n v="2240"/>
    <s v="2026-03-27"/>
    <x v="2"/>
    <x v="1"/>
    <x v="0"/>
    <s v="Monitor"/>
    <n v="29"/>
    <n v="178.62"/>
    <n v="5179.9399999999996"/>
    <x v="1"/>
    <s v="Cash"/>
  </r>
  <r>
    <n v="2128"/>
    <s v="2026-02-08"/>
    <x v="3"/>
    <x v="0"/>
    <x v="2"/>
    <s v="Pens"/>
    <n v="71"/>
    <n v="1.52"/>
    <n v="107.92"/>
    <x v="1"/>
    <s v="Cash"/>
  </r>
  <r>
    <n v="2188"/>
    <s v="2026-02-12"/>
    <x v="3"/>
    <x v="1"/>
    <x v="2"/>
    <s v="Pens"/>
    <n v="62"/>
    <n v="1.45"/>
    <n v="89.88"/>
    <x v="0"/>
    <s v="Credit Card"/>
  </r>
  <r>
    <n v="2245"/>
    <s v="2026-02-25"/>
    <x v="3"/>
    <x v="0"/>
    <x v="2"/>
    <s v="Notebooks"/>
    <n v="29"/>
    <n v="2.98"/>
    <n v="86.44"/>
    <x v="1"/>
    <s v="Debit"/>
  </r>
  <r>
    <n v="2298"/>
    <s v="2026-01-05"/>
    <x v="3"/>
    <x v="2"/>
    <x v="2"/>
    <s v="Notebooks"/>
    <n v="27"/>
    <n v="2.81"/>
    <n v="75.930000000000007"/>
    <x v="0"/>
    <s v="Credit Card"/>
  </r>
  <r>
    <n v="2015"/>
    <s v="2026-03-29"/>
    <x v="3"/>
    <x v="3"/>
    <x v="2"/>
    <s v="Markers"/>
    <n v="10"/>
    <n v="3.86"/>
    <n v="38.590000000000003"/>
    <x v="1"/>
    <s v="Debit"/>
  </r>
  <r>
    <n v="2246"/>
    <s v="2026-01-18"/>
    <x v="1"/>
    <x v="4"/>
    <x v="2"/>
    <s v="Markers"/>
    <n v="80"/>
    <n v="4.07"/>
    <n v="325.64"/>
    <x v="1"/>
    <s v="Debit"/>
  </r>
  <r>
    <n v="2247"/>
    <s v="2026-03-26"/>
    <x v="0"/>
    <x v="0"/>
    <x v="1"/>
    <s v="Filing Cabinet"/>
    <n v="48"/>
    <n v="233.65"/>
    <n v="11215.09"/>
    <x v="1"/>
    <s v="Debit"/>
  </r>
  <r>
    <n v="2248"/>
    <s v="2026-01-31"/>
    <x v="1"/>
    <x v="1"/>
    <x v="1"/>
    <s v="Desk"/>
    <n v="73"/>
    <n v="358.24"/>
    <n v="26151.78"/>
    <x v="0"/>
    <s v="Wire"/>
  </r>
  <r>
    <n v="2025"/>
    <s v="2026-03-23"/>
    <x v="3"/>
    <x v="6"/>
    <x v="2"/>
    <s v="Notebooks"/>
    <n v="12"/>
    <n v="3.15"/>
    <n v="37.76"/>
    <x v="1"/>
    <s v="Credit Card"/>
  </r>
  <r>
    <n v="2250"/>
    <s v="2026-02-09"/>
    <x v="1"/>
    <x v="6"/>
    <x v="2"/>
    <s v="Printer Paper"/>
    <n v="9"/>
    <n v="5.99"/>
    <n v="53.93"/>
    <x v="1"/>
    <s v="Credit Card"/>
  </r>
  <r>
    <n v="2251"/>
    <s v="2026-01-12"/>
    <x v="1"/>
    <x v="6"/>
    <x v="2"/>
    <s v="Printer Paper"/>
    <n v="65"/>
    <n v="5.85"/>
    <n v="380.26"/>
    <x v="1"/>
    <s v="Credit Card"/>
  </r>
  <r>
    <n v="2252"/>
    <s v="2026-01-04"/>
    <x v="1"/>
    <x v="5"/>
    <x v="1"/>
    <s v="Filing Cabinet"/>
    <n v="36"/>
    <n v="247.68"/>
    <n v="8916.49"/>
    <x v="1"/>
    <s v="Credit Card"/>
  </r>
  <r>
    <n v="2136"/>
    <s v="2026-01-23"/>
    <x v="3"/>
    <x v="0"/>
    <x v="2"/>
    <s v="Pens"/>
    <n v="21"/>
    <n v="1.58"/>
    <n v="33.159999999999997"/>
    <x v="1"/>
    <s v="Cash"/>
  </r>
  <r>
    <n v="2254"/>
    <s v="2026-01-03"/>
    <x v="1"/>
    <x v="3"/>
    <x v="0"/>
    <s v="Tablet"/>
    <n v="10"/>
    <n v="322.24"/>
    <n v="3222.43"/>
    <x v="0"/>
    <s v="Cash"/>
  </r>
  <r>
    <n v="2255"/>
    <s v="2026-01-28"/>
    <x v="0"/>
    <x v="3"/>
    <x v="0"/>
    <s v="Laptop"/>
    <n v="52"/>
    <n v="834.97"/>
    <n v="43418.32"/>
    <x v="1"/>
    <s v="Debit"/>
  </r>
  <r>
    <n v="2256"/>
    <s v="2026-01-21"/>
    <x v="0"/>
    <x v="7"/>
    <x v="2"/>
    <s v="Notebooks"/>
    <n v="68"/>
    <n v="3.25"/>
    <n v="221.22"/>
    <x v="1"/>
    <s v="Credit Card"/>
  </r>
  <r>
    <n v="2257"/>
    <s v="2026-02-23"/>
    <x v="1"/>
    <x v="4"/>
    <x v="2"/>
    <s v="Notebooks"/>
    <n v="60"/>
    <n v="2.92"/>
    <n v="175.47"/>
    <x v="1"/>
    <s v="Debit"/>
  </r>
  <r>
    <n v="2258"/>
    <s v="2026-01-05"/>
    <x v="0"/>
    <x v="3"/>
    <x v="1"/>
    <s v="Bookshelf"/>
    <n v="9"/>
    <n v="207.19"/>
    <n v="1864.75"/>
    <x v="1"/>
    <s v="Debit"/>
  </r>
  <r>
    <n v="2259"/>
    <s v="2026-02-25"/>
    <x v="2"/>
    <x v="5"/>
    <x v="2"/>
    <s v="Stapler"/>
    <n v="7"/>
    <n v="7.34"/>
    <n v="51.35"/>
    <x v="1"/>
    <s v="Credit Card"/>
  </r>
  <r>
    <n v="2242"/>
    <s v="2026-03-20"/>
    <x v="3"/>
    <x v="5"/>
    <x v="2"/>
    <s v="Markers"/>
    <n v="8"/>
    <n v="3.93"/>
    <n v="31.45"/>
    <x v="1"/>
    <s v="Cash"/>
  </r>
  <r>
    <n v="2261"/>
    <s v="2026-01-12"/>
    <x v="2"/>
    <x v="6"/>
    <x v="0"/>
    <s v="Headphones"/>
    <n v="65"/>
    <n v="74.040000000000006"/>
    <n v="4812.68"/>
    <x v="0"/>
    <s v="Debit"/>
  </r>
  <r>
    <n v="2262"/>
    <s v="2026-03-17"/>
    <x v="2"/>
    <x v="6"/>
    <x v="0"/>
    <s v="Keyboard"/>
    <n v="78"/>
    <n v="23.17"/>
    <n v="1806.92"/>
    <x v="1"/>
    <s v="Credit Card"/>
  </r>
  <r>
    <n v="2089"/>
    <s v="2026-04-01"/>
    <x v="3"/>
    <x v="3"/>
    <x v="0"/>
    <s v="Mouse"/>
    <n v="1"/>
    <n v="18.27"/>
    <n v="18.27"/>
    <x v="0"/>
    <s v="Credit Card"/>
  </r>
  <r>
    <n v="2264"/>
    <s v="2026-01-14"/>
    <x v="0"/>
    <x v="4"/>
    <x v="0"/>
    <s v="Keyboard"/>
    <n v="49"/>
    <n v="25.78"/>
    <n v="1263.08"/>
    <x v="1"/>
    <s v="Debit"/>
  </r>
  <r>
    <n v="2265"/>
    <s v="2026-01-29"/>
    <x v="2"/>
    <x v="5"/>
    <x v="1"/>
    <s v="Office Chair"/>
    <n v="76"/>
    <n v="120.39"/>
    <n v="9149.74"/>
    <x v="0"/>
    <s v="Debit"/>
  </r>
  <r>
    <n v="2266"/>
    <s v="2026-03-07"/>
    <x v="0"/>
    <x v="7"/>
    <x v="1"/>
    <s v="Conference Table"/>
    <n v="32"/>
    <n v="842.21"/>
    <n v="26950.61"/>
    <x v="1"/>
    <s v="Debit"/>
  </r>
  <r>
    <n v="2267"/>
    <s v="2026-02-02"/>
    <x v="0"/>
    <x v="1"/>
    <x v="0"/>
    <s v="Tablet"/>
    <n v="2"/>
    <n v="288.69"/>
    <n v="577.39"/>
    <x v="1"/>
    <s v="Credit Card"/>
  </r>
  <r>
    <n v="2268"/>
    <s v="2026-01-13"/>
    <x v="0"/>
    <x v="6"/>
    <x v="1"/>
    <s v="Filing Cabinet"/>
    <n v="59"/>
    <n v="258.70999999999998"/>
    <n v="15263.72"/>
    <x v="1"/>
    <s v="Cash"/>
  </r>
  <r>
    <n v="2269"/>
    <s v="2026-01-19"/>
    <x v="1"/>
    <x v="1"/>
    <x v="1"/>
    <s v="Conference Table"/>
    <n v="68"/>
    <n v="744.46"/>
    <n v="50623.56"/>
    <x v="1"/>
    <s v="Cash"/>
  </r>
  <r>
    <n v="2270"/>
    <s v="2026-01-13"/>
    <x v="2"/>
    <x v="1"/>
    <x v="1"/>
    <s v="Conference Table"/>
    <n v="8"/>
    <n v="826.36"/>
    <n v="6610.89"/>
    <x v="1"/>
    <s v="Cash"/>
  </r>
  <r>
    <n v="2271"/>
    <s v="2026-02-28"/>
    <x v="1"/>
    <x v="1"/>
    <x v="1"/>
    <s v="Desk"/>
    <n v="64"/>
    <n v="315.66000000000003"/>
    <n v="20202.25"/>
    <x v="1"/>
    <s v="Wire"/>
  </r>
  <r>
    <n v="2272"/>
    <s v="2026-03-24"/>
    <x v="0"/>
    <x v="2"/>
    <x v="2"/>
    <s v="Markers"/>
    <n v="58"/>
    <n v="3.82"/>
    <n v="221.57"/>
    <x v="0"/>
    <s v="Cash"/>
  </r>
  <r>
    <n v="2273"/>
    <s v="2026-03-07"/>
    <x v="1"/>
    <x v="7"/>
    <x v="2"/>
    <s v="Stapler"/>
    <n v="32"/>
    <n v="7.85"/>
    <n v="251.33"/>
    <x v="0"/>
    <s v="Cash"/>
  </r>
  <r>
    <n v="2274"/>
    <s v="2026-03-23"/>
    <x v="2"/>
    <x v="4"/>
    <x v="2"/>
    <s v="Notebooks"/>
    <n v="56"/>
    <n v="2.83"/>
    <n v="158.47999999999999"/>
    <x v="0"/>
    <s v="Credit Card"/>
  </r>
  <r>
    <n v="2275"/>
    <s v="2026-03-10"/>
    <x v="2"/>
    <x v="0"/>
    <x v="1"/>
    <s v="Bookshelf"/>
    <n v="33"/>
    <n v="213.11"/>
    <n v="7032.67"/>
    <x v="1"/>
    <s v="Debit"/>
  </r>
  <r>
    <n v="2276"/>
    <s v="2026-03-24"/>
    <x v="0"/>
    <x v="6"/>
    <x v="2"/>
    <s v="Stapler"/>
    <n v="76"/>
    <n v="8.17"/>
    <n v="620.54999999999995"/>
    <x v="0"/>
    <s v="Credit Card"/>
  </r>
  <r>
    <n v="2277"/>
    <s v="2026-01-30"/>
    <x v="2"/>
    <x v="5"/>
    <x v="2"/>
    <s v="Pens"/>
    <n v="28"/>
    <n v="1.57"/>
    <n v="43.97"/>
    <x v="1"/>
    <s v="Cash"/>
  </r>
  <r>
    <n v="2278"/>
    <s v="2026-03-06"/>
    <x v="0"/>
    <x v="3"/>
    <x v="2"/>
    <s v="Markers"/>
    <n v="32"/>
    <n v="4.24"/>
    <n v="135.71"/>
    <x v="1"/>
    <s v="Cash"/>
  </r>
  <r>
    <n v="2279"/>
    <s v="2026-03-17"/>
    <x v="0"/>
    <x v="4"/>
    <x v="2"/>
    <s v="Markers"/>
    <n v="76"/>
    <n v="3.85"/>
    <n v="292.63"/>
    <x v="1"/>
    <s v="Credit Card"/>
  </r>
  <r>
    <n v="2280"/>
    <s v="2026-02-28"/>
    <x v="2"/>
    <x v="7"/>
    <x v="1"/>
    <s v="Desk"/>
    <n v="77"/>
    <n v="336.88"/>
    <n v="25939.39"/>
    <x v="0"/>
    <s v="Debit"/>
  </r>
  <r>
    <n v="2281"/>
    <s v="2026-01-11"/>
    <x v="1"/>
    <x v="3"/>
    <x v="2"/>
    <s v="Pens"/>
    <n v="12"/>
    <n v="1.5"/>
    <n v="18.04"/>
    <x v="0"/>
    <s v="Cash"/>
  </r>
  <r>
    <n v="2282"/>
    <s v="2026-03-27"/>
    <x v="0"/>
    <x v="6"/>
    <x v="0"/>
    <s v="Laptop"/>
    <n v="35"/>
    <n v="929.75"/>
    <n v="32541.21"/>
    <x v="1"/>
    <s v="Wire"/>
  </r>
  <r>
    <n v="2283"/>
    <s v="2026-02-13"/>
    <x v="2"/>
    <x v="2"/>
    <x v="1"/>
    <s v="Conference Table"/>
    <n v="30"/>
    <n v="749.73"/>
    <n v="22491.88"/>
    <x v="0"/>
    <s v="Debit"/>
  </r>
  <r>
    <n v="2284"/>
    <s v="2026-03-17"/>
    <x v="1"/>
    <x v="6"/>
    <x v="1"/>
    <s v="Filing Cabinet"/>
    <n v="42"/>
    <n v="237.4"/>
    <n v="9970.85"/>
    <x v="1"/>
    <s v="Debit"/>
  </r>
  <r>
    <n v="2053"/>
    <s v="2026-01-19"/>
    <x v="3"/>
    <x v="3"/>
    <x v="2"/>
    <s v="Markers"/>
    <n v="4"/>
    <n v="3.8"/>
    <n v="15.19"/>
    <x v="0"/>
    <s v="Cash"/>
  </r>
  <r>
    <n v="2286"/>
    <s v="2026-03-01"/>
    <x v="2"/>
    <x v="0"/>
    <x v="1"/>
    <s v="Bookshelf"/>
    <n v="24"/>
    <n v="214.09"/>
    <n v="5138.2"/>
    <x v="1"/>
    <s v="Credit Card"/>
  </r>
  <r>
    <n v="2287"/>
    <s v="2026-03-29"/>
    <x v="2"/>
    <x v="7"/>
    <x v="0"/>
    <s v="Laptop"/>
    <n v="52"/>
    <n v="898.37"/>
    <n v="46715.48"/>
    <x v="1"/>
    <s v="Credit Card"/>
  </r>
  <r>
    <n v="2288"/>
    <s v="2026-03-08"/>
    <x v="2"/>
    <x v="7"/>
    <x v="2"/>
    <s v="Stapler"/>
    <n v="63"/>
    <n v="8.0500000000000007"/>
    <n v="507.03"/>
    <x v="0"/>
    <s v="Credit Card"/>
  </r>
  <r>
    <n v="2289"/>
    <s v="2026-03-22"/>
    <x v="2"/>
    <x v="5"/>
    <x v="1"/>
    <s v="Bookshelf"/>
    <n v="18"/>
    <n v="196.71"/>
    <n v="3540.75"/>
    <x v="0"/>
    <s v="Cash"/>
  </r>
  <r>
    <n v="2290"/>
    <s v="2026-03-20"/>
    <x v="0"/>
    <x v="7"/>
    <x v="0"/>
    <s v="Laptop"/>
    <n v="76"/>
    <n v="837.45"/>
    <n v="63646.29"/>
    <x v="1"/>
    <s v="Cash"/>
  </r>
  <r>
    <n v="2291"/>
    <s v="2026-01-07"/>
    <x v="1"/>
    <x v="5"/>
    <x v="1"/>
    <s v="Bookshelf"/>
    <n v="80"/>
    <n v="218.78"/>
    <n v="17502.18"/>
    <x v="0"/>
    <s v="Credit Card"/>
  </r>
  <r>
    <n v="2292"/>
    <s v="2026-01-31"/>
    <x v="0"/>
    <x v="2"/>
    <x v="0"/>
    <s v="Monitor"/>
    <n v="66"/>
    <n v="188.79"/>
    <n v="12460.29"/>
    <x v="0"/>
    <s v="Wire"/>
  </r>
  <r>
    <n v="2293"/>
    <s v="2026-01-24"/>
    <x v="2"/>
    <x v="0"/>
    <x v="1"/>
    <s v="Office Chair"/>
    <n v="75"/>
    <n v="113.2"/>
    <n v="8489.64"/>
    <x v="1"/>
    <s v="Cash"/>
  </r>
  <r>
    <n v="2294"/>
    <s v="2026-01-05"/>
    <x v="1"/>
    <x v="0"/>
    <x v="0"/>
    <s v="Webcam"/>
    <n v="18"/>
    <n v="63.98"/>
    <n v="1151.6600000000001"/>
    <x v="1"/>
    <s v="Debit"/>
  </r>
  <r>
    <n v="2295"/>
    <s v="2026-03-20"/>
    <x v="2"/>
    <x v="2"/>
    <x v="2"/>
    <s v="Notebooks"/>
    <n v="40"/>
    <n v="3.11"/>
    <n v="124.25"/>
    <x v="1"/>
    <s v="Wire"/>
  </r>
  <r>
    <n v="2296"/>
    <s v="2026-01-04"/>
    <x v="0"/>
    <x v="2"/>
    <x v="0"/>
    <s v="Webcam"/>
    <n v="29"/>
    <n v="54.88"/>
    <n v="1591.6"/>
    <x v="0"/>
    <s v="Credit Card"/>
  </r>
  <r>
    <n v="2297"/>
    <s v="2026-02-12"/>
    <x v="0"/>
    <x v="3"/>
    <x v="1"/>
    <s v="Office Chair"/>
    <n v="74"/>
    <n v="123.59"/>
    <n v="9146.02"/>
    <x v="1"/>
    <s v="Debit"/>
  </r>
  <r>
    <n v="2018"/>
    <s v="2026-01-17"/>
    <x v="3"/>
    <x v="6"/>
    <x v="2"/>
    <s v="Stapler"/>
    <n v="1"/>
    <n v="7.25"/>
    <n v="7.25"/>
    <x v="0"/>
    <s v="Wire"/>
  </r>
  <r>
    <n v="2299"/>
    <s v="2026-01-13"/>
    <x v="0"/>
    <x v="6"/>
    <x v="2"/>
    <s v="Pens"/>
    <n v="61"/>
    <n v="1.56"/>
    <n v="94.9"/>
    <x v="1"/>
    <s v="Cash"/>
  </r>
  <r>
    <n v="2300"/>
    <s v="2026-03-27"/>
    <x v="2"/>
    <x v="1"/>
    <x v="1"/>
    <s v="Office Chair"/>
    <n v="70"/>
    <n v="120"/>
    <n v="8399.98"/>
    <x v="1"/>
    <s v="Cash"/>
  </r>
  <r>
    <m/>
    <m/>
    <x v="4"/>
    <x v="8"/>
    <x v="3"/>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02DE68-98DE-416A-BB0A-79D11D564FFB}"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showAll="0"/>
    <pivotField axis="axisRow" showAll="0" sortType="descending">
      <items count="10">
        <item x="0"/>
        <item x="4"/>
        <item x="6"/>
        <item x="5"/>
        <item x="3"/>
        <item x="1"/>
        <item x="2"/>
        <item x="7"/>
        <item x="8"/>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dataField="1" showAll="0">
      <items count="4">
        <item x="1"/>
        <item h="1" x="0"/>
        <item h="1" x="2"/>
        <item t="default"/>
      </items>
    </pivotField>
    <pivotField showAll="0"/>
  </pivotFields>
  <rowFields count="1">
    <field x="3"/>
  </rowFields>
  <rowItems count="9">
    <i>
      <x/>
    </i>
    <i>
      <x v="2"/>
    </i>
    <i>
      <x v="5"/>
    </i>
    <i>
      <x v="1"/>
    </i>
    <i>
      <x v="4"/>
    </i>
    <i>
      <x v="3"/>
    </i>
    <i>
      <x v="7"/>
    </i>
    <i>
      <x v="6"/>
    </i>
    <i t="grand">
      <x/>
    </i>
  </rowItems>
  <colItems count="1">
    <i/>
  </colItems>
  <dataFields count="1">
    <dataField name="Count of Customer_Typ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DBD7F-1B71-4240-9369-C4BE8FDA9D5E}"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dataField="1" showAll="0"/>
    <pivotField showAll="0">
      <items count="6">
        <item x="3"/>
        <item x="1"/>
        <item x="0"/>
        <item x="2"/>
        <item x="4"/>
        <item t="default"/>
      </items>
    </pivotField>
    <pivotField axis="axisRow" showAll="0" sortType="descending">
      <items count="10">
        <item x="0"/>
        <item x="4"/>
        <item x="6"/>
        <item x="5"/>
        <item x="3"/>
        <item x="1"/>
        <item x="2"/>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h="1" x="0"/>
        <item h="1" x="2"/>
        <item t="default"/>
      </items>
    </pivotField>
    <pivotField showAll="0"/>
  </pivotFields>
  <rowFields count="1">
    <field x="3"/>
  </rowFields>
  <rowItems count="9">
    <i>
      <x/>
    </i>
    <i>
      <x v="2"/>
    </i>
    <i>
      <x v="5"/>
    </i>
    <i>
      <x v="1"/>
    </i>
    <i>
      <x v="4"/>
    </i>
    <i>
      <x v="3"/>
    </i>
    <i>
      <x v="7"/>
    </i>
    <i>
      <x v="6"/>
    </i>
    <i t="grand">
      <x/>
    </i>
  </rowItems>
  <colItems count="1">
    <i/>
  </colItems>
  <dataFields count="1">
    <dataField name="Count of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0133EDD-B2F5-4D0D-972E-4169171CDB79}" sourceName="Customer_Type">
  <pivotTables>
    <pivotTable tabId="3" name="PivotTable5"/>
  </pivotTables>
  <data>
    <tabular pivotCacheId="1021589878">
      <items count="3">
        <i x="1" s="1"/>
        <i x="0"/>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CA15801E-96BD-4D28-A66F-B8D556CF22B7}" sourceName="Customer_Type">
  <pivotTables>
    <pivotTable tabId="4" name="PivotTable6"/>
  </pivotTables>
  <data>
    <tabular pivotCacheId="1021589878">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3B2BB82C-438F-4053-9ED7-984BE30F1E9C}" cache="Slicer_Customer_Type1" caption="Customer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C2C2929C-76A1-41CA-8AAB-0399F62239F6}" cache="Slicer_Customer_Type" caption="Customer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15E53-6885-4C26-AE40-75DF004A0409}">
  <dimension ref="A3:B12"/>
  <sheetViews>
    <sheetView workbookViewId="0">
      <selection activeCell="D9" sqref="D9"/>
    </sheetView>
  </sheetViews>
  <sheetFormatPr defaultRowHeight="14.4" x14ac:dyDescent="0.3"/>
  <cols>
    <col min="1" max="1" width="12.5546875" bestFit="1" customWidth="1"/>
    <col min="2" max="2" width="22.33203125" bestFit="1" customWidth="1"/>
  </cols>
  <sheetData>
    <row r="3" spans="1:2" x14ac:dyDescent="0.3">
      <c r="A3" s="1" t="s">
        <v>135</v>
      </c>
      <c r="B3" t="s">
        <v>138</v>
      </c>
    </row>
    <row r="4" spans="1:2" x14ac:dyDescent="0.3">
      <c r="A4" s="2" t="s">
        <v>12</v>
      </c>
      <c r="B4" s="3">
        <v>25</v>
      </c>
    </row>
    <row r="5" spans="1:2" x14ac:dyDescent="0.3">
      <c r="A5" s="2" t="s">
        <v>32</v>
      </c>
      <c r="B5" s="3">
        <v>25</v>
      </c>
    </row>
    <row r="6" spans="1:2" x14ac:dyDescent="0.3">
      <c r="A6" s="2" t="s">
        <v>19</v>
      </c>
      <c r="B6" s="3">
        <v>22</v>
      </c>
    </row>
    <row r="7" spans="1:2" x14ac:dyDescent="0.3">
      <c r="A7" s="2" t="s">
        <v>35</v>
      </c>
      <c r="B7" s="3">
        <v>21</v>
      </c>
    </row>
    <row r="8" spans="1:2" x14ac:dyDescent="0.3">
      <c r="A8" s="2" t="s">
        <v>39</v>
      </c>
      <c r="B8" s="3">
        <v>20</v>
      </c>
    </row>
    <row r="9" spans="1:2" x14ac:dyDescent="0.3">
      <c r="A9" s="2" t="s">
        <v>46</v>
      </c>
      <c r="B9" s="3">
        <v>18</v>
      </c>
    </row>
    <row r="10" spans="1:2" x14ac:dyDescent="0.3">
      <c r="A10" s="2" t="s">
        <v>57</v>
      </c>
      <c r="B10" s="3">
        <v>17</v>
      </c>
    </row>
    <row r="11" spans="1:2" x14ac:dyDescent="0.3">
      <c r="A11" s="2" t="s">
        <v>27</v>
      </c>
      <c r="B11" s="3">
        <v>13</v>
      </c>
    </row>
    <row r="12" spans="1:2" x14ac:dyDescent="0.3">
      <c r="A12" s="2" t="s">
        <v>136</v>
      </c>
      <c r="B12" s="3">
        <v>161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01"/>
  <sheetViews>
    <sheetView workbookViewId="0">
      <selection activeCell="A12" sqref="A12:XFD12"/>
    </sheetView>
  </sheetViews>
  <sheetFormatPr defaultRowHeight="14.4" x14ac:dyDescent="0.3"/>
  <cols>
    <col min="2" max="2" width="9.5546875" bestFit="1" customWidth="1"/>
  </cols>
  <sheetData>
    <row r="1" spans="1:16" x14ac:dyDescent="0.3">
      <c r="A1" cm="1">
        <f t="array" aca="1" ref="A1" ca="1">A1:F12=+N6+A1:K29+A1:L167</f>
        <v>0</v>
      </c>
      <c r="B1" t="s">
        <v>0</v>
      </c>
      <c r="C1" t="s">
        <v>1</v>
      </c>
      <c r="D1" t="s">
        <v>2</v>
      </c>
      <c r="E1" t="s">
        <v>3</v>
      </c>
      <c r="F1" t="s">
        <v>4</v>
      </c>
      <c r="G1" t="s">
        <v>5</v>
      </c>
      <c r="H1" t="s">
        <v>6</v>
      </c>
      <c r="I1" t="s">
        <v>7</v>
      </c>
      <c r="J1" t="s">
        <v>8</v>
      </c>
      <c r="K1" t="s">
        <v>9</v>
      </c>
    </row>
    <row r="2" spans="1:16" hidden="1" x14ac:dyDescent="0.3">
      <c r="A2">
        <v>2001</v>
      </c>
      <c r="B2" t="s">
        <v>10</v>
      </c>
      <c r="C2" t="s">
        <v>11</v>
      </c>
      <c r="D2" t="s">
        <v>12</v>
      </c>
      <c r="E2" t="s">
        <v>13</v>
      </c>
      <c r="F2" t="s">
        <v>14</v>
      </c>
      <c r="G2">
        <v>66</v>
      </c>
      <c r="H2">
        <v>75.77</v>
      </c>
      <c r="I2">
        <v>5001.0200000000004</v>
      </c>
      <c r="J2" t="s">
        <v>15</v>
      </c>
      <c r="K2" t="s">
        <v>16</v>
      </c>
    </row>
    <row r="3" spans="1:16" hidden="1" x14ac:dyDescent="0.3">
      <c r="A3">
        <v>2002</v>
      </c>
      <c r="B3" t="s">
        <v>17</v>
      </c>
      <c r="C3" t="s">
        <v>18</v>
      </c>
      <c r="D3" t="s">
        <v>19</v>
      </c>
      <c r="E3" t="s">
        <v>20</v>
      </c>
      <c r="F3" t="s">
        <v>21</v>
      </c>
      <c r="G3">
        <v>80</v>
      </c>
      <c r="H3">
        <v>183.88</v>
      </c>
      <c r="I3">
        <v>14710.8</v>
      </c>
      <c r="J3" t="s">
        <v>15</v>
      </c>
      <c r="K3" t="s">
        <v>22</v>
      </c>
    </row>
    <row r="4" spans="1:16" hidden="1" x14ac:dyDescent="0.3">
      <c r="A4">
        <v>2003</v>
      </c>
      <c r="B4" t="s">
        <v>23</v>
      </c>
      <c r="C4" t="s">
        <v>18</v>
      </c>
      <c r="D4" t="s">
        <v>12</v>
      </c>
      <c r="E4" t="s">
        <v>13</v>
      </c>
      <c r="F4" t="s">
        <v>14</v>
      </c>
      <c r="G4">
        <v>15</v>
      </c>
      <c r="H4">
        <v>81.93</v>
      </c>
      <c r="I4">
        <v>1228.95</v>
      </c>
      <c r="J4" t="s">
        <v>15</v>
      </c>
      <c r="K4" t="s">
        <v>24</v>
      </c>
    </row>
    <row r="5" spans="1:16" hidden="1" x14ac:dyDescent="0.3">
      <c r="A5">
        <v>2004</v>
      </c>
      <c r="B5" t="s">
        <v>25</v>
      </c>
      <c r="C5" t="s">
        <v>26</v>
      </c>
      <c r="D5" t="s">
        <v>27</v>
      </c>
      <c r="E5" t="s">
        <v>13</v>
      </c>
      <c r="F5" t="s">
        <v>28</v>
      </c>
      <c r="G5">
        <v>59</v>
      </c>
      <c r="H5">
        <v>20.11</v>
      </c>
      <c r="I5">
        <v>1186.57</v>
      </c>
      <c r="J5" t="s">
        <v>29</v>
      </c>
      <c r="K5" t="s">
        <v>30</v>
      </c>
    </row>
    <row r="6" spans="1:16" hidden="1" x14ac:dyDescent="0.3">
      <c r="A6">
        <v>2263</v>
      </c>
      <c r="B6" s="4">
        <v>46087</v>
      </c>
      <c r="C6" t="s">
        <v>31</v>
      </c>
      <c r="D6" t="s">
        <v>39</v>
      </c>
      <c r="E6" t="s">
        <v>13</v>
      </c>
      <c r="F6" t="s">
        <v>67</v>
      </c>
      <c r="G6">
        <v>60</v>
      </c>
      <c r="H6">
        <v>882.5</v>
      </c>
      <c r="I6">
        <v>52949.98</v>
      </c>
      <c r="J6" t="s">
        <v>15</v>
      </c>
      <c r="K6" t="s">
        <v>22</v>
      </c>
      <c r="N6">
        <f>COUNTA(E6:E299)</f>
        <v>294</v>
      </c>
      <c r="P6" t="e" vm="1">
        <f>_xleta.COUNT</f>
        <v>#VALUE!</v>
      </c>
    </row>
    <row r="7" spans="1:16" hidden="1" x14ac:dyDescent="0.3">
      <c r="A7">
        <v>2006</v>
      </c>
      <c r="B7" t="s">
        <v>34</v>
      </c>
      <c r="C7" t="s">
        <v>18</v>
      </c>
      <c r="D7" t="s">
        <v>35</v>
      </c>
      <c r="E7" t="s">
        <v>13</v>
      </c>
      <c r="F7" t="s">
        <v>36</v>
      </c>
      <c r="G7">
        <v>11</v>
      </c>
      <c r="H7">
        <v>295.12</v>
      </c>
      <c r="I7">
        <v>3246.35</v>
      </c>
      <c r="J7" t="s">
        <v>15</v>
      </c>
      <c r="K7" t="s">
        <v>24</v>
      </c>
    </row>
    <row r="8" spans="1:16" hidden="1" x14ac:dyDescent="0.3">
      <c r="A8">
        <v>2081</v>
      </c>
      <c r="B8" t="s">
        <v>76</v>
      </c>
      <c r="C8" t="s">
        <v>31</v>
      </c>
      <c r="D8" t="s">
        <v>35</v>
      </c>
      <c r="E8" t="s">
        <v>20</v>
      </c>
      <c r="F8" t="s">
        <v>75</v>
      </c>
      <c r="G8">
        <v>42</v>
      </c>
      <c r="H8">
        <v>861.27</v>
      </c>
      <c r="I8">
        <v>36173.440000000002</v>
      </c>
      <c r="J8" t="s">
        <v>15</v>
      </c>
      <c r="K8" t="s">
        <v>22</v>
      </c>
      <c r="N8">
        <f>COUNTIF(E6:E299,"ELECTRONICS")</f>
        <v>93</v>
      </c>
    </row>
    <row r="9" spans="1:16" hidden="1" x14ac:dyDescent="0.3">
      <c r="A9">
        <v>2008</v>
      </c>
      <c r="B9" t="s">
        <v>38</v>
      </c>
      <c r="C9" t="s">
        <v>18</v>
      </c>
      <c r="D9" t="s">
        <v>39</v>
      </c>
      <c r="E9" t="s">
        <v>13</v>
      </c>
      <c r="F9" t="s">
        <v>14</v>
      </c>
      <c r="G9">
        <v>31</v>
      </c>
      <c r="H9">
        <v>79.98</v>
      </c>
      <c r="I9">
        <v>2479.4899999999998</v>
      </c>
      <c r="J9" t="s">
        <v>15</v>
      </c>
      <c r="K9" t="s">
        <v>22</v>
      </c>
    </row>
    <row r="10" spans="1:16" hidden="1" x14ac:dyDescent="0.3">
      <c r="A10">
        <v>2009</v>
      </c>
      <c r="B10" t="s">
        <v>40</v>
      </c>
      <c r="C10" t="s">
        <v>18</v>
      </c>
      <c r="D10" t="s">
        <v>19</v>
      </c>
      <c r="E10" t="s">
        <v>20</v>
      </c>
      <c r="F10" t="s">
        <v>41</v>
      </c>
      <c r="G10">
        <v>17</v>
      </c>
      <c r="H10">
        <v>248.21</v>
      </c>
      <c r="I10">
        <v>4219.53</v>
      </c>
      <c r="J10" t="s">
        <v>29</v>
      </c>
      <c r="K10" t="s">
        <v>30</v>
      </c>
    </row>
    <row r="11" spans="1:16" hidden="1" x14ac:dyDescent="0.3">
      <c r="A11">
        <v>2010</v>
      </c>
      <c r="B11" t="s">
        <v>42</v>
      </c>
      <c r="C11" t="s">
        <v>18</v>
      </c>
      <c r="D11" t="s">
        <v>12</v>
      </c>
      <c r="E11" t="s">
        <v>43</v>
      </c>
      <c r="F11" t="s">
        <v>44</v>
      </c>
      <c r="G11">
        <v>62</v>
      </c>
      <c r="H11">
        <v>8.48</v>
      </c>
      <c r="I11">
        <v>526</v>
      </c>
      <c r="J11" t="s">
        <v>15</v>
      </c>
      <c r="K11" t="s">
        <v>30</v>
      </c>
    </row>
    <row r="12" spans="1:16" x14ac:dyDescent="0.3">
      <c r="A12">
        <v>2027</v>
      </c>
      <c r="B12" s="4">
        <v>46094</v>
      </c>
      <c r="C12" t="s">
        <v>31</v>
      </c>
      <c r="D12" t="s">
        <v>46</v>
      </c>
      <c r="E12" t="s">
        <v>13</v>
      </c>
      <c r="F12" t="s">
        <v>67</v>
      </c>
      <c r="G12">
        <v>36</v>
      </c>
      <c r="H12">
        <v>947.36</v>
      </c>
      <c r="I12">
        <v>34104.97</v>
      </c>
      <c r="J12" t="s">
        <v>29</v>
      </c>
      <c r="K12" t="s">
        <v>24</v>
      </c>
    </row>
    <row r="13" spans="1:16" hidden="1" x14ac:dyDescent="0.3">
      <c r="A13">
        <v>2203</v>
      </c>
      <c r="B13" t="s">
        <v>78</v>
      </c>
      <c r="C13" t="s">
        <v>31</v>
      </c>
      <c r="D13" t="s">
        <v>19</v>
      </c>
      <c r="E13" t="s">
        <v>20</v>
      </c>
      <c r="F13" t="s">
        <v>61</v>
      </c>
      <c r="G13">
        <v>80</v>
      </c>
      <c r="H13">
        <v>360.06</v>
      </c>
      <c r="I13">
        <v>28805.14</v>
      </c>
      <c r="J13" t="s">
        <v>15</v>
      </c>
      <c r="K13" t="s">
        <v>24</v>
      </c>
      <c r="N13">
        <f>COUNTIF(E6:E299,"office supplies")</f>
        <v>103</v>
      </c>
    </row>
    <row r="14" spans="1:16" hidden="1" x14ac:dyDescent="0.3">
      <c r="A14">
        <v>2013</v>
      </c>
      <c r="B14" t="s">
        <v>50</v>
      </c>
      <c r="C14" t="s">
        <v>26</v>
      </c>
      <c r="D14" t="s">
        <v>39</v>
      </c>
      <c r="E14" t="s">
        <v>13</v>
      </c>
      <c r="F14" t="s">
        <v>51</v>
      </c>
      <c r="G14">
        <v>44</v>
      </c>
      <c r="H14">
        <v>22.77</v>
      </c>
      <c r="I14">
        <v>1002.09</v>
      </c>
      <c r="J14" t="s">
        <v>15</v>
      </c>
      <c r="K14" t="s">
        <v>16</v>
      </c>
    </row>
    <row r="15" spans="1:16" hidden="1" x14ac:dyDescent="0.3">
      <c r="A15">
        <v>2014</v>
      </c>
      <c r="B15" t="s">
        <v>52</v>
      </c>
      <c r="C15" t="s">
        <v>11</v>
      </c>
      <c r="D15" t="s">
        <v>35</v>
      </c>
      <c r="E15" t="s">
        <v>13</v>
      </c>
      <c r="F15" t="s">
        <v>28</v>
      </c>
      <c r="G15">
        <v>57</v>
      </c>
      <c r="H15">
        <v>18.829999999999998</v>
      </c>
      <c r="I15">
        <v>1073.3699999999999</v>
      </c>
      <c r="J15" t="s">
        <v>15</v>
      </c>
      <c r="K15" t="s">
        <v>30</v>
      </c>
    </row>
    <row r="16" spans="1:16" x14ac:dyDescent="0.3">
      <c r="A16">
        <v>2205</v>
      </c>
      <c r="B16" t="s">
        <v>55</v>
      </c>
      <c r="C16" t="s">
        <v>31</v>
      </c>
      <c r="D16" t="s">
        <v>32</v>
      </c>
      <c r="E16" t="s">
        <v>20</v>
      </c>
      <c r="F16" t="s">
        <v>61</v>
      </c>
      <c r="G16">
        <v>67</v>
      </c>
      <c r="H16">
        <v>364.9</v>
      </c>
      <c r="I16">
        <v>24448.28</v>
      </c>
      <c r="J16" t="s">
        <v>29</v>
      </c>
      <c r="K16" t="s">
        <v>22</v>
      </c>
    </row>
    <row r="17" spans="1:11" hidden="1" x14ac:dyDescent="0.3">
      <c r="A17">
        <v>2016</v>
      </c>
      <c r="B17" t="s">
        <v>54</v>
      </c>
      <c r="C17" t="s">
        <v>11</v>
      </c>
      <c r="D17" t="s">
        <v>19</v>
      </c>
      <c r="E17" t="s">
        <v>13</v>
      </c>
      <c r="F17" t="s">
        <v>36</v>
      </c>
      <c r="G17">
        <v>46</v>
      </c>
      <c r="H17">
        <v>326.23</v>
      </c>
      <c r="I17">
        <v>15006.42</v>
      </c>
      <c r="J17" t="s">
        <v>15</v>
      </c>
      <c r="K17" t="s">
        <v>24</v>
      </c>
    </row>
    <row r="18" spans="1:11" hidden="1" x14ac:dyDescent="0.3">
      <c r="A18">
        <v>2017</v>
      </c>
      <c r="B18" t="s">
        <v>55</v>
      </c>
      <c r="C18" t="s">
        <v>18</v>
      </c>
      <c r="D18" t="s">
        <v>35</v>
      </c>
      <c r="E18" t="s">
        <v>13</v>
      </c>
      <c r="F18" t="s">
        <v>36</v>
      </c>
      <c r="G18">
        <v>32</v>
      </c>
      <c r="H18">
        <v>304.10000000000002</v>
      </c>
      <c r="I18">
        <v>9731.36</v>
      </c>
      <c r="J18" t="s">
        <v>15</v>
      </c>
      <c r="K18" t="s">
        <v>16</v>
      </c>
    </row>
    <row r="19" spans="1:11" hidden="1" x14ac:dyDescent="0.3">
      <c r="A19">
        <v>2087</v>
      </c>
      <c r="B19" t="s">
        <v>100</v>
      </c>
      <c r="C19" t="s">
        <v>31</v>
      </c>
      <c r="D19" t="s">
        <v>57</v>
      </c>
      <c r="E19" t="s">
        <v>20</v>
      </c>
      <c r="F19" t="s">
        <v>75</v>
      </c>
      <c r="G19">
        <v>30</v>
      </c>
      <c r="H19">
        <v>804.84</v>
      </c>
      <c r="I19">
        <v>24145.32</v>
      </c>
      <c r="J19" t="s">
        <v>15</v>
      </c>
      <c r="K19" t="s">
        <v>30</v>
      </c>
    </row>
    <row r="20" spans="1:11" x14ac:dyDescent="0.3">
      <c r="A20">
        <v>2198</v>
      </c>
      <c r="B20" t="s">
        <v>92</v>
      </c>
      <c r="C20" t="s">
        <v>31</v>
      </c>
      <c r="D20" t="s">
        <v>12</v>
      </c>
      <c r="E20" t="s">
        <v>20</v>
      </c>
      <c r="F20" t="s">
        <v>75</v>
      </c>
      <c r="G20">
        <v>26</v>
      </c>
      <c r="H20">
        <v>875.17</v>
      </c>
      <c r="I20">
        <v>22754.45</v>
      </c>
      <c r="J20" t="s">
        <v>29</v>
      </c>
      <c r="K20" t="s">
        <v>30</v>
      </c>
    </row>
    <row r="21" spans="1:11" hidden="1" x14ac:dyDescent="0.3">
      <c r="A21">
        <v>2020</v>
      </c>
      <c r="B21" t="s">
        <v>58</v>
      </c>
      <c r="C21" t="s">
        <v>11</v>
      </c>
      <c r="D21" t="s">
        <v>19</v>
      </c>
      <c r="E21" t="s">
        <v>20</v>
      </c>
      <c r="F21" t="s">
        <v>33</v>
      </c>
      <c r="G21">
        <v>42</v>
      </c>
      <c r="H21">
        <v>108.95</v>
      </c>
      <c r="I21">
        <v>4575.95</v>
      </c>
      <c r="J21" t="s">
        <v>15</v>
      </c>
      <c r="K21" t="s">
        <v>24</v>
      </c>
    </row>
    <row r="22" spans="1:11" hidden="1" x14ac:dyDescent="0.3">
      <c r="A22">
        <v>2021</v>
      </c>
      <c r="B22" t="s">
        <v>59</v>
      </c>
      <c r="C22" t="s">
        <v>26</v>
      </c>
      <c r="D22" t="s">
        <v>19</v>
      </c>
      <c r="E22" t="s">
        <v>43</v>
      </c>
      <c r="F22" t="s">
        <v>49</v>
      </c>
      <c r="G22">
        <v>37</v>
      </c>
      <c r="H22">
        <v>1.48</v>
      </c>
      <c r="I22">
        <v>54.6</v>
      </c>
      <c r="J22" t="s">
        <v>29</v>
      </c>
      <c r="K22" t="s">
        <v>22</v>
      </c>
    </row>
    <row r="23" spans="1:11" hidden="1" x14ac:dyDescent="0.3">
      <c r="A23">
        <v>2022</v>
      </c>
      <c r="B23" t="s">
        <v>60</v>
      </c>
      <c r="C23" t="s">
        <v>26</v>
      </c>
      <c r="D23" t="s">
        <v>19</v>
      </c>
      <c r="E23" t="s">
        <v>20</v>
      </c>
      <c r="F23" t="s">
        <v>61</v>
      </c>
      <c r="G23">
        <v>43</v>
      </c>
      <c r="H23">
        <v>327.58999999999997</v>
      </c>
      <c r="I23">
        <v>14086.19</v>
      </c>
      <c r="J23" t="s">
        <v>29</v>
      </c>
      <c r="K23" t="s">
        <v>24</v>
      </c>
    </row>
    <row r="24" spans="1:11" hidden="1" x14ac:dyDescent="0.3">
      <c r="A24">
        <v>2023</v>
      </c>
      <c r="B24" t="s">
        <v>62</v>
      </c>
      <c r="C24" t="s">
        <v>26</v>
      </c>
      <c r="D24" t="s">
        <v>27</v>
      </c>
      <c r="E24" t="s">
        <v>13</v>
      </c>
      <c r="F24" t="s">
        <v>51</v>
      </c>
      <c r="G24">
        <v>76</v>
      </c>
      <c r="H24">
        <v>22.53</v>
      </c>
      <c r="I24">
        <v>1712.66</v>
      </c>
      <c r="J24" t="s">
        <v>15</v>
      </c>
      <c r="K24" t="s">
        <v>16</v>
      </c>
    </row>
    <row r="25" spans="1:11" hidden="1" x14ac:dyDescent="0.3">
      <c r="A25">
        <v>2024</v>
      </c>
      <c r="B25" t="s">
        <v>48</v>
      </c>
      <c r="C25" t="s">
        <v>18</v>
      </c>
      <c r="D25" t="s">
        <v>19</v>
      </c>
      <c r="E25" t="s">
        <v>20</v>
      </c>
      <c r="F25" t="s">
        <v>61</v>
      </c>
      <c r="G25">
        <v>23</v>
      </c>
      <c r="H25">
        <v>315.72000000000003</v>
      </c>
      <c r="I25">
        <v>7261.6</v>
      </c>
      <c r="J25" t="s">
        <v>15</v>
      </c>
      <c r="K25" t="s">
        <v>22</v>
      </c>
    </row>
    <row r="26" spans="1:11" hidden="1" x14ac:dyDescent="0.3">
      <c r="A26">
        <v>2142</v>
      </c>
      <c r="B26" t="s">
        <v>115</v>
      </c>
      <c r="C26" t="s">
        <v>31</v>
      </c>
      <c r="D26" t="s">
        <v>57</v>
      </c>
      <c r="E26" t="s">
        <v>20</v>
      </c>
      <c r="F26" t="s">
        <v>61</v>
      </c>
      <c r="G26">
        <v>61</v>
      </c>
      <c r="H26">
        <v>369.42</v>
      </c>
      <c r="I26">
        <v>22534.87</v>
      </c>
      <c r="J26" t="s">
        <v>15</v>
      </c>
      <c r="K26" t="s">
        <v>24</v>
      </c>
    </row>
    <row r="27" spans="1:11" hidden="1" x14ac:dyDescent="0.3">
      <c r="A27">
        <v>2026</v>
      </c>
      <c r="B27" t="s">
        <v>65</v>
      </c>
      <c r="C27" t="s">
        <v>18</v>
      </c>
      <c r="D27" t="s">
        <v>19</v>
      </c>
      <c r="E27" t="s">
        <v>43</v>
      </c>
      <c r="F27" t="s">
        <v>64</v>
      </c>
      <c r="G27">
        <v>80</v>
      </c>
      <c r="H27">
        <v>3.03</v>
      </c>
      <c r="I27">
        <v>242.8</v>
      </c>
      <c r="J27" t="s">
        <v>29</v>
      </c>
      <c r="K27" t="s">
        <v>22</v>
      </c>
    </row>
    <row r="28" spans="1:11" x14ac:dyDescent="0.3">
      <c r="A28">
        <v>2168</v>
      </c>
      <c r="B28" t="s">
        <v>92</v>
      </c>
      <c r="C28" t="s">
        <v>31</v>
      </c>
      <c r="D28" t="s">
        <v>46</v>
      </c>
      <c r="E28" t="s">
        <v>13</v>
      </c>
      <c r="F28" t="s">
        <v>36</v>
      </c>
      <c r="G28">
        <v>77</v>
      </c>
      <c r="H28">
        <v>292.62</v>
      </c>
      <c r="I28">
        <v>22531.61</v>
      </c>
      <c r="J28" t="s">
        <v>29</v>
      </c>
      <c r="K28" t="s">
        <v>30</v>
      </c>
    </row>
    <row r="29" spans="1:11" hidden="1" x14ac:dyDescent="0.3">
      <c r="A29">
        <v>2028</v>
      </c>
      <c r="B29" t="s">
        <v>68</v>
      </c>
      <c r="C29" t="s">
        <v>11</v>
      </c>
      <c r="D29" t="s">
        <v>57</v>
      </c>
      <c r="E29" t="s">
        <v>20</v>
      </c>
      <c r="F29" t="s">
        <v>21</v>
      </c>
      <c r="G29">
        <v>66</v>
      </c>
      <c r="H29">
        <v>191.9</v>
      </c>
      <c r="I29">
        <v>12665.24</v>
      </c>
      <c r="J29" t="s">
        <v>29</v>
      </c>
      <c r="K29" t="s">
        <v>30</v>
      </c>
    </row>
    <row r="30" spans="1:11" hidden="1" x14ac:dyDescent="0.3">
      <c r="A30">
        <v>2029</v>
      </c>
      <c r="B30" t="s">
        <v>69</v>
      </c>
      <c r="C30" t="s">
        <v>11</v>
      </c>
      <c r="D30" t="s">
        <v>39</v>
      </c>
      <c r="E30" t="s">
        <v>43</v>
      </c>
      <c r="F30" t="s">
        <v>44</v>
      </c>
      <c r="G30">
        <v>43</v>
      </c>
      <c r="H30">
        <v>7.21</v>
      </c>
      <c r="I30">
        <v>310.10000000000002</v>
      </c>
      <c r="J30" t="s">
        <v>29</v>
      </c>
      <c r="K30" t="s">
        <v>30</v>
      </c>
    </row>
    <row r="31" spans="1:11" hidden="1" x14ac:dyDescent="0.3">
      <c r="A31">
        <v>2030</v>
      </c>
      <c r="B31" t="s">
        <v>70</v>
      </c>
      <c r="C31" t="s">
        <v>18</v>
      </c>
      <c r="D31" t="s">
        <v>46</v>
      </c>
      <c r="E31" t="s">
        <v>20</v>
      </c>
      <c r="F31" t="s">
        <v>33</v>
      </c>
      <c r="G31">
        <v>63</v>
      </c>
      <c r="H31">
        <v>112.14</v>
      </c>
      <c r="I31">
        <v>7064.62</v>
      </c>
      <c r="J31" t="s">
        <v>15</v>
      </c>
      <c r="K31" t="s">
        <v>30</v>
      </c>
    </row>
    <row r="32" spans="1:11" hidden="1" x14ac:dyDescent="0.3">
      <c r="A32">
        <v>2031</v>
      </c>
      <c r="B32" t="s">
        <v>71</v>
      </c>
      <c r="C32" t="s">
        <v>18</v>
      </c>
      <c r="D32" t="s">
        <v>12</v>
      </c>
      <c r="E32" t="s">
        <v>20</v>
      </c>
      <c r="F32" t="s">
        <v>41</v>
      </c>
      <c r="G32">
        <v>2</v>
      </c>
      <c r="H32">
        <v>264.7</v>
      </c>
      <c r="I32">
        <v>529.4</v>
      </c>
      <c r="J32" t="s">
        <v>29</v>
      </c>
      <c r="K32" t="s">
        <v>30</v>
      </c>
    </row>
    <row r="33" spans="1:11" hidden="1" x14ac:dyDescent="0.3">
      <c r="A33">
        <v>2032</v>
      </c>
      <c r="B33" t="s">
        <v>71</v>
      </c>
      <c r="C33" t="s">
        <v>11</v>
      </c>
      <c r="D33" t="s">
        <v>12</v>
      </c>
      <c r="E33" t="s">
        <v>20</v>
      </c>
      <c r="F33" t="s">
        <v>21</v>
      </c>
      <c r="G33">
        <v>72</v>
      </c>
      <c r="H33">
        <v>183.07</v>
      </c>
      <c r="I33">
        <v>13181.33</v>
      </c>
      <c r="J33" t="s">
        <v>29</v>
      </c>
      <c r="K33" t="s">
        <v>16</v>
      </c>
    </row>
    <row r="34" spans="1:11" hidden="1" x14ac:dyDescent="0.3">
      <c r="A34">
        <v>2033</v>
      </c>
      <c r="B34" t="s">
        <v>71</v>
      </c>
      <c r="C34" t="s">
        <v>26</v>
      </c>
      <c r="D34" t="s">
        <v>57</v>
      </c>
      <c r="E34" t="s">
        <v>13</v>
      </c>
      <c r="F34" t="s">
        <v>28</v>
      </c>
      <c r="G34">
        <v>52</v>
      </c>
      <c r="H34">
        <v>20.88</v>
      </c>
      <c r="I34">
        <v>1085.82</v>
      </c>
      <c r="J34" t="s">
        <v>29</v>
      </c>
      <c r="K34" t="s">
        <v>16</v>
      </c>
    </row>
    <row r="35" spans="1:11" x14ac:dyDescent="0.3">
      <c r="A35">
        <v>2067</v>
      </c>
      <c r="B35" t="s">
        <v>95</v>
      </c>
      <c r="C35" t="s">
        <v>31</v>
      </c>
      <c r="D35" t="s">
        <v>39</v>
      </c>
      <c r="E35" t="s">
        <v>20</v>
      </c>
      <c r="F35" t="s">
        <v>41</v>
      </c>
      <c r="G35">
        <v>70</v>
      </c>
      <c r="H35">
        <v>266.49</v>
      </c>
      <c r="I35">
        <v>18654.61</v>
      </c>
      <c r="J35" t="s">
        <v>29</v>
      </c>
      <c r="K35" t="s">
        <v>30</v>
      </c>
    </row>
    <row r="36" spans="1:11" hidden="1" x14ac:dyDescent="0.3">
      <c r="A36">
        <v>2035</v>
      </c>
      <c r="B36" t="s">
        <v>72</v>
      </c>
      <c r="C36" t="s">
        <v>11</v>
      </c>
      <c r="D36" t="s">
        <v>19</v>
      </c>
      <c r="E36" t="s">
        <v>43</v>
      </c>
      <c r="F36" t="s">
        <v>73</v>
      </c>
      <c r="G36">
        <v>5</v>
      </c>
      <c r="H36">
        <v>5.89</v>
      </c>
      <c r="I36">
        <v>29.44</v>
      </c>
      <c r="J36" t="s">
        <v>15</v>
      </c>
      <c r="K36" t="s">
        <v>16</v>
      </c>
    </row>
    <row r="37" spans="1:11" hidden="1" x14ac:dyDescent="0.3">
      <c r="A37">
        <v>2036</v>
      </c>
      <c r="B37" t="s">
        <v>74</v>
      </c>
      <c r="C37" t="s">
        <v>18</v>
      </c>
      <c r="D37" t="s">
        <v>35</v>
      </c>
      <c r="E37" t="s">
        <v>20</v>
      </c>
      <c r="F37" t="s">
        <v>75</v>
      </c>
      <c r="G37">
        <v>63</v>
      </c>
      <c r="H37">
        <v>777.51</v>
      </c>
      <c r="I37">
        <v>48982.99</v>
      </c>
      <c r="J37" t="s">
        <v>29</v>
      </c>
      <c r="K37" t="s">
        <v>30</v>
      </c>
    </row>
    <row r="38" spans="1:11" hidden="1" x14ac:dyDescent="0.3">
      <c r="A38">
        <v>2037</v>
      </c>
      <c r="B38" t="s">
        <v>63</v>
      </c>
      <c r="C38" t="s">
        <v>26</v>
      </c>
      <c r="D38" t="s">
        <v>12</v>
      </c>
      <c r="E38" t="s">
        <v>43</v>
      </c>
      <c r="F38" t="s">
        <v>44</v>
      </c>
      <c r="G38">
        <v>21</v>
      </c>
      <c r="H38">
        <v>8.4499999999999993</v>
      </c>
      <c r="I38">
        <v>177.44</v>
      </c>
      <c r="J38" t="s">
        <v>15</v>
      </c>
      <c r="K38" t="s">
        <v>22</v>
      </c>
    </row>
    <row r="39" spans="1:11" hidden="1" x14ac:dyDescent="0.3">
      <c r="A39">
        <v>2038</v>
      </c>
      <c r="B39" t="s">
        <v>58</v>
      </c>
      <c r="C39" t="s">
        <v>18</v>
      </c>
      <c r="D39" t="s">
        <v>32</v>
      </c>
      <c r="E39" t="s">
        <v>43</v>
      </c>
      <c r="F39" t="s">
        <v>64</v>
      </c>
      <c r="G39">
        <v>66</v>
      </c>
      <c r="H39">
        <v>2.93</v>
      </c>
      <c r="I39">
        <v>193.45</v>
      </c>
      <c r="J39" t="s">
        <v>29</v>
      </c>
      <c r="K39" t="s">
        <v>16</v>
      </c>
    </row>
    <row r="40" spans="1:11" hidden="1" x14ac:dyDescent="0.3">
      <c r="A40">
        <v>2039</v>
      </c>
      <c r="B40" t="s">
        <v>76</v>
      </c>
      <c r="C40" t="s">
        <v>18</v>
      </c>
      <c r="D40" t="s">
        <v>39</v>
      </c>
      <c r="E40" t="s">
        <v>20</v>
      </c>
      <c r="F40" t="s">
        <v>75</v>
      </c>
      <c r="G40">
        <v>44</v>
      </c>
      <c r="H40">
        <v>872.96</v>
      </c>
      <c r="I40">
        <v>38410.050000000003</v>
      </c>
      <c r="J40" t="s">
        <v>15</v>
      </c>
      <c r="K40" t="s">
        <v>24</v>
      </c>
    </row>
    <row r="41" spans="1:11" hidden="1" x14ac:dyDescent="0.3">
      <c r="A41">
        <v>2244</v>
      </c>
      <c r="B41" t="s">
        <v>123</v>
      </c>
      <c r="C41" t="s">
        <v>31</v>
      </c>
      <c r="D41" t="s">
        <v>27</v>
      </c>
      <c r="E41" t="s">
        <v>20</v>
      </c>
      <c r="F41" t="s">
        <v>61</v>
      </c>
      <c r="G41">
        <v>49</v>
      </c>
      <c r="H41">
        <v>364.43</v>
      </c>
      <c r="I41">
        <v>17857.3</v>
      </c>
      <c r="J41" t="s">
        <v>15</v>
      </c>
      <c r="K41" t="s">
        <v>30</v>
      </c>
    </row>
    <row r="42" spans="1:11" hidden="1" x14ac:dyDescent="0.3">
      <c r="A42">
        <v>2228</v>
      </c>
      <c r="B42" t="s">
        <v>23</v>
      </c>
      <c r="C42" t="s">
        <v>31</v>
      </c>
      <c r="D42" t="s">
        <v>32</v>
      </c>
      <c r="E42" t="s">
        <v>13</v>
      </c>
      <c r="F42" t="s">
        <v>36</v>
      </c>
      <c r="G42">
        <v>60</v>
      </c>
      <c r="H42">
        <v>295.67</v>
      </c>
      <c r="I42">
        <v>17740.11</v>
      </c>
      <c r="J42" t="s">
        <v>15</v>
      </c>
      <c r="K42" t="s">
        <v>16</v>
      </c>
    </row>
    <row r="43" spans="1:11" hidden="1" x14ac:dyDescent="0.3">
      <c r="A43">
        <v>2042</v>
      </c>
      <c r="B43" t="s">
        <v>78</v>
      </c>
      <c r="C43" t="s">
        <v>26</v>
      </c>
      <c r="D43" t="s">
        <v>32</v>
      </c>
      <c r="E43" t="s">
        <v>20</v>
      </c>
      <c r="F43" t="s">
        <v>21</v>
      </c>
      <c r="G43">
        <v>75</v>
      </c>
      <c r="H43">
        <v>219.16</v>
      </c>
      <c r="I43">
        <v>16437.080000000002</v>
      </c>
      <c r="J43" t="s">
        <v>29</v>
      </c>
      <c r="K43" t="s">
        <v>24</v>
      </c>
    </row>
    <row r="44" spans="1:11" x14ac:dyDescent="0.3">
      <c r="A44">
        <v>2051</v>
      </c>
      <c r="B44" t="s">
        <v>87</v>
      </c>
      <c r="C44" t="s">
        <v>31</v>
      </c>
      <c r="D44" t="s">
        <v>12</v>
      </c>
      <c r="E44" t="s">
        <v>20</v>
      </c>
      <c r="F44" t="s">
        <v>61</v>
      </c>
      <c r="G44">
        <v>47</v>
      </c>
      <c r="H44">
        <v>357.11</v>
      </c>
      <c r="I44">
        <v>16784.23</v>
      </c>
      <c r="J44" t="s">
        <v>29</v>
      </c>
      <c r="K44" t="s">
        <v>30</v>
      </c>
    </row>
    <row r="45" spans="1:11" hidden="1" x14ac:dyDescent="0.3">
      <c r="A45">
        <v>2044</v>
      </c>
      <c r="B45" t="s">
        <v>37</v>
      </c>
      <c r="C45" t="s">
        <v>11</v>
      </c>
      <c r="D45" t="s">
        <v>19</v>
      </c>
      <c r="E45" t="s">
        <v>20</v>
      </c>
      <c r="F45" t="s">
        <v>61</v>
      </c>
      <c r="G45">
        <v>29</v>
      </c>
      <c r="H45">
        <v>367.57</v>
      </c>
      <c r="I45">
        <v>10659.45</v>
      </c>
      <c r="J45" t="s">
        <v>29</v>
      </c>
      <c r="K45" t="s">
        <v>22</v>
      </c>
    </row>
    <row r="46" spans="1:11" x14ac:dyDescent="0.3">
      <c r="A46">
        <v>2120</v>
      </c>
      <c r="B46" t="s">
        <v>34</v>
      </c>
      <c r="C46" t="s">
        <v>31</v>
      </c>
      <c r="D46" t="s">
        <v>46</v>
      </c>
      <c r="E46" t="s">
        <v>13</v>
      </c>
      <c r="F46" t="s">
        <v>67</v>
      </c>
      <c r="G46">
        <v>17</v>
      </c>
      <c r="H46">
        <v>819.18</v>
      </c>
      <c r="I46">
        <v>13926.03</v>
      </c>
      <c r="J46" t="s">
        <v>29</v>
      </c>
      <c r="K46" t="s">
        <v>30</v>
      </c>
    </row>
    <row r="47" spans="1:11" x14ac:dyDescent="0.3">
      <c r="A47">
        <v>2007</v>
      </c>
      <c r="B47" t="s">
        <v>37</v>
      </c>
      <c r="C47" t="s">
        <v>31</v>
      </c>
      <c r="D47" t="s">
        <v>12</v>
      </c>
      <c r="E47" t="s">
        <v>20</v>
      </c>
      <c r="F47" t="s">
        <v>21</v>
      </c>
      <c r="G47">
        <v>68</v>
      </c>
      <c r="H47">
        <v>197.97</v>
      </c>
      <c r="I47">
        <v>13461.99</v>
      </c>
      <c r="J47" t="s">
        <v>29</v>
      </c>
      <c r="K47" t="s">
        <v>22</v>
      </c>
    </row>
    <row r="48" spans="1:11" hidden="1" x14ac:dyDescent="0.3">
      <c r="A48">
        <v>2285</v>
      </c>
      <c r="B48" t="s">
        <v>94</v>
      </c>
      <c r="C48" t="s">
        <v>31</v>
      </c>
      <c r="D48" t="s">
        <v>19</v>
      </c>
      <c r="E48" t="s">
        <v>13</v>
      </c>
      <c r="F48" t="s">
        <v>81</v>
      </c>
      <c r="G48">
        <v>68</v>
      </c>
      <c r="H48">
        <v>195.91</v>
      </c>
      <c r="I48">
        <v>13321.64</v>
      </c>
      <c r="J48" t="s">
        <v>15</v>
      </c>
      <c r="K48" t="s">
        <v>16</v>
      </c>
    </row>
    <row r="49" spans="1:11" hidden="1" x14ac:dyDescent="0.3">
      <c r="A49">
        <v>2048</v>
      </c>
      <c r="B49" t="s">
        <v>83</v>
      </c>
      <c r="C49" t="s">
        <v>18</v>
      </c>
      <c r="D49" t="s">
        <v>19</v>
      </c>
      <c r="E49" t="s">
        <v>43</v>
      </c>
      <c r="F49" t="s">
        <v>73</v>
      </c>
      <c r="G49">
        <v>56</v>
      </c>
      <c r="H49">
        <v>6.01</v>
      </c>
      <c r="I49">
        <v>336.61</v>
      </c>
      <c r="J49" t="s">
        <v>15</v>
      </c>
      <c r="K49" t="s">
        <v>16</v>
      </c>
    </row>
    <row r="50" spans="1:11" hidden="1" x14ac:dyDescent="0.3">
      <c r="A50">
        <v>2049</v>
      </c>
      <c r="B50" t="s">
        <v>84</v>
      </c>
      <c r="C50" t="s">
        <v>26</v>
      </c>
      <c r="D50" t="s">
        <v>39</v>
      </c>
      <c r="E50" t="s">
        <v>13</v>
      </c>
      <c r="F50" t="s">
        <v>36</v>
      </c>
      <c r="G50">
        <v>11</v>
      </c>
      <c r="H50">
        <v>317.58</v>
      </c>
      <c r="I50">
        <v>3493.43</v>
      </c>
      <c r="J50" t="s">
        <v>29</v>
      </c>
      <c r="K50" t="s">
        <v>30</v>
      </c>
    </row>
    <row r="51" spans="1:11" hidden="1" x14ac:dyDescent="0.3">
      <c r="A51">
        <v>2253</v>
      </c>
      <c r="B51" t="s">
        <v>129</v>
      </c>
      <c r="C51" t="s">
        <v>31</v>
      </c>
      <c r="D51" t="s">
        <v>57</v>
      </c>
      <c r="E51" t="s">
        <v>20</v>
      </c>
      <c r="F51" t="s">
        <v>41</v>
      </c>
      <c r="G51">
        <v>54</v>
      </c>
      <c r="H51">
        <v>246.23</v>
      </c>
      <c r="I51">
        <v>13296.61</v>
      </c>
      <c r="J51" t="s">
        <v>15</v>
      </c>
      <c r="K51" t="s">
        <v>24</v>
      </c>
    </row>
    <row r="52" spans="1:11" x14ac:dyDescent="0.3">
      <c r="A52">
        <v>2060</v>
      </c>
      <c r="B52" t="s">
        <v>23</v>
      </c>
      <c r="C52" t="s">
        <v>31</v>
      </c>
      <c r="D52" t="s">
        <v>35</v>
      </c>
      <c r="E52" t="s">
        <v>13</v>
      </c>
      <c r="F52" t="s">
        <v>67</v>
      </c>
      <c r="G52">
        <v>14</v>
      </c>
      <c r="H52">
        <v>917.18</v>
      </c>
      <c r="I52">
        <v>12840.56</v>
      </c>
      <c r="J52" t="s">
        <v>29</v>
      </c>
      <c r="K52" t="s">
        <v>24</v>
      </c>
    </row>
    <row r="53" spans="1:11" hidden="1" x14ac:dyDescent="0.3">
      <c r="A53">
        <v>2052</v>
      </c>
      <c r="B53" t="s">
        <v>88</v>
      </c>
      <c r="C53" t="s">
        <v>18</v>
      </c>
      <c r="D53" t="s">
        <v>19</v>
      </c>
      <c r="E53" t="s">
        <v>43</v>
      </c>
      <c r="F53" t="s">
        <v>73</v>
      </c>
      <c r="G53">
        <v>21</v>
      </c>
      <c r="H53">
        <v>5.72</v>
      </c>
      <c r="I53">
        <v>120.07</v>
      </c>
      <c r="J53" t="s">
        <v>15</v>
      </c>
      <c r="K53" t="s">
        <v>24</v>
      </c>
    </row>
    <row r="54" spans="1:11" x14ac:dyDescent="0.3">
      <c r="A54">
        <v>2111</v>
      </c>
      <c r="B54" t="s">
        <v>92</v>
      </c>
      <c r="C54" t="s">
        <v>31</v>
      </c>
      <c r="D54" t="s">
        <v>12</v>
      </c>
      <c r="E54" t="s">
        <v>20</v>
      </c>
      <c r="F54" t="s">
        <v>75</v>
      </c>
      <c r="G54">
        <v>15</v>
      </c>
      <c r="H54">
        <v>848.98</v>
      </c>
      <c r="I54">
        <v>12734.75</v>
      </c>
      <c r="J54" t="s">
        <v>29</v>
      </c>
      <c r="K54" t="s">
        <v>30</v>
      </c>
    </row>
    <row r="55" spans="1:11" hidden="1" x14ac:dyDescent="0.3">
      <c r="A55">
        <v>2166</v>
      </c>
      <c r="B55" t="s">
        <v>48</v>
      </c>
      <c r="C55" t="s">
        <v>31</v>
      </c>
      <c r="D55" t="s">
        <v>32</v>
      </c>
      <c r="E55" t="s">
        <v>13</v>
      </c>
      <c r="F55" t="s">
        <v>36</v>
      </c>
      <c r="G55">
        <v>47</v>
      </c>
      <c r="H55">
        <v>270.70999999999998</v>
      </c>
      <c r="I55">
        <v>12723.37</v>
      </c>
      <c r="J55" t="s">
        <v>15</v>
      </c>
      <c r="K55" t="s">
        <v>24</v>
      </c>
    </row>
    <row r="56" spans="1:11" hidden="1" x14ac:dyDescent="0.3">
      <c r="A56">
        <v>2055</v>
      </c>
      <c r="B56" t="s">
        <v>90</v>
      </c>
      <c r="C56" t="s">
        <v>26</v>
      </c>
      <c r="D56" t="s">
        <v>19</v>
      </c>
      <c r="E56" t="s">
        <v>43</v>
      </c>
      <c r="F56" t="s">
        <v>73</v>
      </c>
      <c r="G56">
        <v>76</v>
      </c>
      <c r="H56">
        <v>6.11</v>
      </c>
      <c r="I56">
        <v>464.71</v>
      </c>
      <c r="J56" t="s">
        <v>15</v>
      </c>
      <c r="K56" t="s">
        <v>22</v>
      </c>
    </row>
    <row r="57" spans="1:11" hidden="1" x14ac:dyDescent="0.3">
      <c r="A57">
        <v>2034</v>
      </c>
      <c r="B57" t="s">
        <v>50</v>
      </c>
      <c r="C57" t="s">
        <v>31</v>
      </c>
      <c r="D57" t="s">
        <v>35</v>
      </c>
      <c r="E57" t="s">
        <v>20</v>
      </c>
      <c r="F57" t="s">
        <v>61</v>
      </c>
      <c r="G57">
        <v>33</v>
      </c>
      <c r="H57">
        <v>362</v>
      </c>
      <c r="I57">
        <v>11945.96</v>
      </c>
      <c r="J57" t="s">
        <v>15</v>
      </c>
      <c r="K57" t="s">
        <v>24</v>
      </c>
    </row>
    <row r="58" spans="1:11" hidden="1" x14ac:dyDescent="0.3">
      <c r="A58">
        <v>2057</v>
      </c>
      <c r="B58" t="s">
        <v>91</v>
      </c>
      <c r="C58" t="s">
        <v>26</v>
      </c>
      <c r="D58" t="s">
        <v>46</v>
      </c>
      <c r="E58" t="s">
        <v>43</v>
      </c>
      <c r="F58" t="s">
        <v>44</v>
      </c>
      <c r="G58">
        <v>78</v>
      </c>
      <c r="H58">
        <v>8.02</v>
      </c>
      <c r="I58">
        <v>625.57000000000005</v>
      </c>
      <c r="J58" t="s">
        <v>29</v>
      </c>
      <c r="K58" t="s">
        <v>22</v>
      </c>
    </row>
    <row r="59" spans="1:11" hidden="1" x14ac:dyDescent="0.3">
      <c r="A59">
        <v>2058</v>
      </c>
      <c r="B59" t="s">
        <v>87</v>
      </c>
      <c r="C59" t="s">
        <v>26</v>
      </c>
      <c r="D59" t="s">
        <v>46</v>
      </c>
      <c r="E59" t="s">
        <v>43</v>
      </c>
      <c r="F59" t="s">
        <v>44</v>
      </c>
      <c r="G59">
        <v>8</v>
      </c>
      <c r="H59">
        <v>8.76</v>
      </c>
      <c r="I59">
        <v>70.069999999999993</v>
      </c>
      <c r="J59" t="s">
        <v>29</v>
      </c>
      <c r="K59" t="s">
        <v>16</v>
      </c>
    </row>
    <row r="60" spans="1:11" hidden="1" x14ac:dyDescent="0.3">
      <c r="A60">
        <v>2059</v>
      </c>
      <c r="B60" t="s">
        <v>87</v>
      </c>
      <c r="C60" t="s">
        <v>26</v>
      </c>
      <c r="D60" t="s">
        <v>27</v>
      </c>
      <c r="E60" t="s">
        <v>13</v>
      </c>
      <c r="F60" t="s">
        <v>28</v>
      </c>
      <c r="G60">
        <v>24</v>
      </c>
      <c r="H60">
        <v>19.29</v>
      </c>
      <c r="I60">
        <v>463.02</v>
      </c>
      <c r="J60" t="s">
        <v>15</v>
      </c>
      <c r="K60" t="s">
        <v>24</v>
      </c>
    </row>
    <row r="61" spans="1:11" x14ac:dyDescent="0.3">
      <c r="A61">
        <v>2193</v>
      </c>
      <c r="B61" t="s">
        <v>97</v>
      </c>
      <c r="C61" t="s">
        <v>31</v>
      </c>
      <c r="D61" t="s">
        <v>35</v>
      </c>
      <c r="E61" t="s">
        <v>13</v>
      </c>
      <c r="F61" t="s">
        <v>81</v>
      </c>
      <c r="G61">
        <v>66</v>
      </c>
      <c r="H61">
        <v>163.9</v>
      </c>
      <c r="I61">
        <v>10817.59</v>
      </c>
      <c r="J61" t="s">
        <v>29</v>
      </c>
      <c r="K61" t="s">
        <v>24</v>
      </c>
    </row>
    <row r="62" spans="1:11" x14ac:dyDescent="0.3">
      <c r="A62">
        <v>2235</v>
      </c>
      <c r="B62" t="s">
        <v>60</v>
      </c>
      <c r="C62" t="s">
        <v>31</v>
      </c>
      <c r="D62" t="s">
        <v>27</v>
      </c>
      <c r="E62" t="s">
        <v>13</v>
      </c>
      <c r="F62" t="s">
        <v>81</v>
      </c>
      <c r="G62">
        <v>55</v>
      </c>
      <c r="H62">
        <v>188.4</v>
      </c>
      <c r="I62">
        <v>10361.99</v>
      </c>
      <c r="J62" t="s">
        <v>29</v>
      </c>
      <c r="K62" t="s">
        <v>22</v>
      </c>
    </row>
    <row r="63" spans="1:11" hidden="1" x14ac:dyDescent="0.3">
      <c r="A63">
        <v>2062</v>
      </c>
      <c r="B63" t="s">
        <v>92</v>
      </c>
      <c r="C63" t="s">
        <v>18</v>
      </c>
      <c r="D63" t="s">
        <v>27</v>
      </c>
      <c r="E63" t="s">
        <v>13</v>
      </c>
      <c r="F63" t="s">
        <v>36</v>
      </c>
      <c r="G63">
        <v>46</v>
      </c>
      <c r="H63">
        <v>293.64</v>
      </c>
      <c r="I63">
        <v>13507.63</v>
      </c>
      <c r="J63" t="s">
        <v>15</v>
      </c>
      <c r="K63" t="s">
        <v>30</v>
      </c>
    </row>
    <row r="64" spans="1:11" x14ac:dyDescent="0.3">
      <c r="A64">
        <v>2100</v>
      </c>
      <c r="B64" t="s">
        <v>88</v>
      </c>
      <c r="C64" t="s">
        <v>31</v>
      </c>
      <c r="D64" t="s">
        <v>46</v>
      </c>
      <c r="E64" t="s">
        <v>20</v>
      </c>
      <c r="F64" t="s">
        <v>61</v>
      </c>
      <c r="G64">
        <v>30</v>
      </c>
      <c r="H64">
        <v>344.11</v>
      </c>
      <c r="I64">
        <v>10323.200000000001</v>
      </c>
      <c r="J64" t="s">
        <v>29</v>
      </c>
      <c r="K64" t="s">
        <v>16</v>
      </c>
    </row>
    <row r="65" spans="1:11" hidden="1" x14ac:dyDescent="0.3">
      <c r="A65">
        <v>2064</v>
      </c>
      <c r="B65" t="s">
        <v>93</v>
      </c>
      <c r="C65" t="s">
        <v>11</v>
      </c>
      <c r="D65" t="s">
        <v>35</v>
      </c>
      <c r="E65" t="s">
        <v>43</v>
      </c>
      <c r="F65" t="s">
        <v>73</v>
      </c>
      <c r="G65">
        <v>3</v>
      </c>
      <c r="H65">
        <v>6.08</v>
      </c>
      <c r="I65">
        <v>18.239999999999998</v>
      </c>
      <c r="J65" t="s">
        <v>15</v>
      </c>
      <c r="K65" t="s">
        <v>22</v>
      </c>
    </row>
    <row r="66" spans="1:11" hidden="1" x14ac:dyDescent="0.3">
      <c r="A66">
        <v>2065</v>
      </c>
      <c r="B66" t="s">
        <v>94</v>
      </c>
      <c r="C66" t="s">
        <v>11</v>
      </c>
      <c r="D66" t="s">
        <v>19</v>
      </c>
      <c r="E66" t="s">
        <v>13</v>
      </c>
      <c r="F66" t="s">
        <v>67</v>
      </c>
      <c r="G66">
        <v>51</v>
      </c>
      <c r="H66">
        <v>883.18</v>
      </c>
      <c r="I66">
        <v>45042.09</v>
      </c>
      <c r="J66" t="s">
        <v>15</v>
      </c>
      <c r="K66" t="s">
        <v>22</v>
      </c>
    </row>
    <row r="67" spans="1:11" x14ac:dyDescent="0.3">
      <c r="A67">
        <v>2045</v>
      </c>
      <c r="B67" t="s">
        <v>37</v>
      </c>
      <c r="C67" t="s">
        <v>31</v>
      </c>
      <c r="D67" t="s">
        <v>32</v>
      </c>
      <c r="E67" t="s">
        <v>20</v>
      </c>
      <c r="F67" t="s">
        <v>33</v>
      </c>
      <c r="G67">
        <v>60</v>
      </c>
      <c r="H67">
        <v>131.07</v>
      </c>
      <c r="I67">
        <v>7864.33</v>
      </c>
      <c r="J67" t="s">
        <v>29</v>
      </c>
      <c r="K67" t="s">
        <v>30</v>
      </c>
    </row>
    <row r="68" spans="1:11" hidden="1" x14ac:dyDescent="0.3">
      <c r="A68">
        <v>2082</v>
      </c>
      <c r="B68" t="s">
        <v>98</v>
      </c>
      <c r="C68" t="s">
        <v>31</v>
      </c>
      <c r="D68" t="s">
        <v>46</v>
      </c>
      <c r="E68" t="s">
        <v>13</v>
      </c>
      <c r="F68" t="s">
        <v>67</v>
      </c>
      <c r="G68">
        <v>9</v>
      </c>
      <c r="H68">
        <v>868.56</v>
      </c>
      <c r="I68">
        <v>7817.07</v>
      </c>
      <c r="J68" t="s">
        <v>15</v>
      </c>
      <c r="K68" t="s">
        <v>30</v>
      </c>
    </row>
    <row r="69" spans="1:11" hidden="1" x14ac:dyDescent="0.3">
      <c r="A69">
        <v>2068</v>
      </c>
      <c r="B69" t="s">
        <v>85</v>
      </c>
      <c r="C69" t="s">
        <v>11</v>
      </c>
      <c r="D69" t="s">
        <v>35</v>
      </c>
      <c r="E69" t="s">
        <v>20</v>
      </c>
      <c r="F69" t="s">
        <v>33</v>
      </c>
      <c r="G69">
        <v>61</v>
      </c>
      <c r="H69">
        <v>115.14</v>
      </c>
      <c r="I69">
        <v>7023.42</v>
      </c>
      <c r="J69" t="s">
        <v>29</v>
      </c>
      <c r="K69" t="s">
        <v>30</v>
      </c>
    </row>
    <row r="70" spans="1:11" hidden="1" x14ac:dyDescent="0.3">
      <c r="A70">
        <v>2069</v>
      </c>
      <c r="B70" t="s">
        <v>85</v>
      </c>
      <c r="C70" t="s">
        <v>26</v>
      </c>
      <c r="D70" t="s">
        <v>12</v>
      </c>
      <c r="E70" t="s">
        <v>43</v>
      </c>
      <c r="F70" t="s">
        <v>73</v>
      </c>
      <c r="G70">
        <v>49</v>
      </c>
      <c r="H70">
        <v>5.73</v>
      </c>
      <c r="I70">
        <v>280.93</v>
      </c>
      <c r="J70" t="s">
        <v>15</v>
      </c>
      <c r="K70" t="s">
        <v>16</v>
      </c>
    </row>
    <row r="71" spans="1:11" hidden="1" x14ac:dyDescent="0.3">
      <c r="A71">
        <v>2070</v>
      </c>
      <c r="B71" t="s">
        <v>50</v>
      </c>
      <c r="C71" t="s">
        <v>11</v>
      </c>
      <c r="D71" t="s">
        <v>57</v>
      </c>
      <c r="E71" t="s">
        <v>43</v>
      </c>
      <c r="F71" t="s">
        <v>44</v>
      </c>
      <c r="G71">
        <v>6</v>
      </c>
      <c r="H71">
        <v>8.68</v>
      </c>
      <c r="I71">
        <v>52.08</v>
      </c>
      <c r="J71" t="s">
        <v>29</v>
      </c>
      <c r="K71" t="s">
        <v>30</v>
      </c>
    </row>
    <row r="72" spans="1:11" hidden="1" x14ac:dyDescent="0.3">
      <c r="A72">
        <v>2194</v>
      </c>
      <c r="B72" t="s">
        <v>66</v>
      </c>
      <c r="C72" t="s">
        <v>31</v>
      </c>
      <c r="D72" t="s">
        <v>27</v>
      </c>
      <c r="E72" t="s">
        <v>20</v>
      </c>
      <c r="F72" t="s">
        <v>41</v>
      </c>
      <c r="G72">
        <v>32</v>
      </c>
      <c r="H72">
        <v>240.25</v>
      </c>
      <c r="I72">
        <v>7688.07</v>
      </c>
      <c r="J72" t="s">
        <v>15</v>
      </c>
      <c r="K72" t="s">
        <v>16</v>
      </c>
    </row>
    <row r="73" spans="1:11" hidden="1" x14ac:dyDescent="0.3">
      <c r="A73">
        <v>2072</v>
      </c>
      <c r="B73" t="s">
        <v>68</v>
      </c>
      <c r="C73" t="s">
        <v>18</v>
      </c>
      <c r="D73" t="s">
        <v>32</v>
      </c>
      <c r="E73" t="s">
        <v>20</v>
      </c>
      <c r="F73" t="s">
        <v>41</v>
      </c>
      <c r="G73">
        <v>28</v>
      </c>
      <c r="H73">
        <v>258.91000000000003</v>
      </c>
      <c r="I73">
        <v>7249.45</v>
      </c>
      <c r="J73" t="s">
        <v>15</v>
      </c>
      <c r="K73" t="s">
        <v>30</v>
      </c>
    </row>
    <row r="74" spans="1:11" hidden="1" x14ac:dyDescent="0.3">
      <c r="A74">
        <v>2073</v>
      </c>
      <c r="B74" t="s">
        <v>50</v>
      </c>
      <c r="C74" t="s">
        <v>11</v>
      </c>
      <c r="D74" t="s">
        <v>12</v>
      </c>
      <c r="E74" t="s">
        <v>20</v>
      </c>
      <c r="F74" t="s">
        <v>41</v>
      </c>
      <c r="G74">
        <v>47</v>
      </c>
      <c r="H74">
        <v>257.08</v>
      </c>
      <c r="I74">
        <v>12082.91</v>
      </c>
      <c r="J74" t="s">
        <v>15</v>
      </c>
      <c r="K74" t="s">
        <v>16</v>
      </c>
    </row>
    <row r="75" spans="1:11" hidden="1" x14ac:dyDescent="0.3">
      <c r="A75">
        <v>2074</v>
      </c>
      <c r="B75" t="s">
        <v>56</v>
      </c>
      <c r="C75" t="s">
        <v>11</v>
      </c>
      <c r="D75" t="s">
        <v>27</v>
      </c>
      <c r="E75" t="s">
        <v>43</v>
      </c>
      <c r="F75" t="s">
        <v>47</v>
      </c>
      <c r="G75">
        <v>71</v>
      </c>
      <c r="H75">
        <v>4.25</v>
      </c>
      <c r="I75">
        <v>301.41000000000003</v>
      </c>
      <c r="J75" t="s">
        <v>29</v>
      </c>
      <c r="K75" t="s">
        <v>16</v>
      </c>
    </row>
    <row r="76" spans="1:11" hidden="1" x14ac:dyDescent="0.3">
      <c r="A76">
        <v>2075</v>
      </c>
      <c r="B76" t="s">
        <v>53</v>
      </c>
      <c r="C76" t="s">
        <v>11</v>
      </c>
      <c r="D76" t="s">
        <v>32</v>
      </c>
      <c r="E76" t="s">
        <v>20</v>
      </c>
      <c r="F76" t="s">
        <v>75</v>
      </c>
      <c r="G76">
        <v>50</v>
      </c>
      <c r="H76">
        <v>771.16</v>
      </c>
      <c r="I76">
        <v>38557.839999999997</v>
      </c>
      <c r="J76" t="s">
        <v>15</v>
      </c>
      <c r="K76" t="s">
        <v>24</v>
      </c>
    </row>
    <row r="77" spans="1:11" hidden="1" x14ac:dyDescent="0.3">
      <c r="A77">
        <v>2076</v>
      </c>
      <c r="B77" t="s">
        <v>85</v>
      </c>
      <c r="C77" t="s">
        <v>18</v>
      </c>
      <c r="D77" t="s">
        <v>12</v>
      </c>
      <c r="E77" t="s">
        <v>13</v>
      </c>
      <c r="F77" t="s">
        <v>36</v>
      </c>
      <c r="G77">
        <v>29</v>
      </c>
      <c r="H77">
        <v>306.77</v>
      </c>
      <c r="I77">
        <v>8896.2800000000007</v>
      </c>
      <c r="J77" t="s">
        <v>29</v>
      </c>
      <c r="K77" t="s">
        <v>24</v>
      </c>
    </row>
    <row r="78" spans="1:11" hidden="1" x14ac:dyDescent="0.3">
      <c r="A78">
        <v>2077</v>
      </c>
      <c r="B78" t="s">
        <v>48</v>
      </c>
      <c r="C78" t="s">
        <v>26</v>
      </c>
      <c r="D78" t="s">
        <v>12</v>
      </c>
      <c r="E78" t="s">
        <v>13</v>
      </c>
      <c r="F78" t="s">
        <v>36</v>
      </c>
      <c r="G78">
        <v>65</v>
      </c>
      <c r="H78">
        <v>312.29000000000002</v>
      </c>
      <c r="I78">
        <v>20298.849999999999</v>
      </c>
      <c r="J78" t="s">
        <v>29</v>
      </c>
      <c r="K78" t="s">
        <v>22</v>
      </c>
    </row>
    <row r="79" spans="1:11" hidden="1" x14ac:dyDescent="0.3">
      <c r="A79">
        <v>2078</v>
      </c>
      <c r="B79" t="s">
        <v>59</v>
      </c>
      <c r="C79" t="s">
        <v>26</v>
      </c>
      <c r="D79" t="s">
        <v>35</v>
      </c>
      <c r="E79" t="s">
        <v>20</v>
      </c>
      <c r="F79" t="s">
        <v>33</v>
      </c>
      <c r="G79">
        <v>37</v>
      </c>
      <c r="H79">
        <v>114.84</v>
      </c>
      <c r="I79">
        <v>4249.08</v>
      </c>
      <c r="J79" t="s">
        <v>29</v>
      </c>
      <c r="K79" t="s">
        <v>22</v>
      </c>
    </row>
    <row r="80" spans="1:11" hidden="1" x14ac:dyDescent="0.3">
      <c r="A80">
        <v>2079</v>
      </c>
      <c r="B80" t="s">
        <v>97</v>
      </c>
      <c r="C80" t="s">
        <v>26</v>
      </c>
      <c r="D80" t="s">
        <v>27</v>
      </c>
      <c r="E80" t="s">
        <v>20</v>
      </c>
      <c r="F80" t="s">
        <v>33</v>
      </c>
      <c r="G80">
        <v>60</v>
      </c>
      <c r="H80">
        <v>115.66</v>
      </c>
      <c r="I80">
        <v>6939.47</v>
      </c>
      <c r="J80" t="s">
        <v>15</v>
      </c>
      <c r="K80" t="s">
        <v>24</v>
      </c>
    </row>
    <row r="81" spans="1:11" hidden="1" x14ac:dyDescent="0.3">
      <c r="A81">
        <v>2080</v>
      </c>
      <c r="B81" t="s">
        <v>54</v>
      </c>
      <c r="C81" t="s">
        <v>26</v>
      </c>
      <c r="D81" t="s">
        <v>35</v>
      </c>
      <c r="E81" t="s">
        <v>13</v>
      </c>
      <c r="F81" t="s">
        <v>81</v>
      </c>
      <c r="G81">
        <v>30</v>
      </c>
      <c r="H81">
        <v>184.11</v>
      </c>
      <c r="I81">
        <v>5523.31</v>
      </c>
      <c r="J81" t="s">
        <v>15</v>
      </c>
      <c r="K81" t="s">
        <v>16</v>
      </c>
    </row>
    <row r="82" spans="1:11" hidden="1" x14ac:dyDescent="0.3">
      <c r="A82">
        <v>2046</v>
      </c>
      <c r="B82" t="s">
        <v>80</v>
      </c>
      <c r="C82" t="s">
        <v>31</v>
      </c>
      <c r="D82" t="s">
        <v>12</v>
      </c>
      <c r="E82" t="s">
        <v>13</v>
      </c>
      <c r="F82" t="s">
        <v>81</v>
      </c>
      <c r="G82">
        <v>41</v>
      </c>
      <c r="H82">
        <v>177.79</v>
      </c>
      <c r="I82">
        <v>7289.4</v>
      </c>
      <c r="J82" t="s">
        <v>15</v>
      </c>
      <c r="K82" t="s">
        <v>24</v>
      </c>
    </row>
    <row r="83" spans="1:11" hidden="1" x14ac:dyDescent="0.3">
      <c r="A83">
        <v>2220</v>
      </c>
      <c r="B83" t="s">
        <v>124</v>
      </c>
      <c r="C83" t="s">
        <v>31</v>
      </c>
      <c r="D83" t="s">
        <v>12</v>
      </c>
      <c r="E83" t="s">
        <v>20</v>
      </c>
      <c r="F83" t="s">
        <v>61</v>
      </c>
      <c r="G83">
        <v>15</v>
      </c>
      <c r="H83">
        <v>357.96</v>
      </c>
      <c r="I83">
        <v>5369.35</v>
      </c>
      <c r="J83" t="s">
        <v>15</v>
      </c>
      <c r="K83" t="s">
        <v>30</v>
      </c>
    </row>
    <row r="84" spans="1:11" hidden="1" x14ac:dyDescent="0.3">
      <c r="A84">
        <v>2083</v>
      </c>
      <c r="B84" t="s">
        <v>99</v>
      </c>
      <c r="C84" t="s">
        <v>18</v>
      </c>
      <c r="D84" t="s">
        <v>39</v>
      </c>
      <c r="E84" t="s">
        <v>20</v>
      </c>
      <c r="F84" t="s">
        <v>33</v>
      </c>
      <c r="G84">
        <v>19</v>
      </c>
      <c r="H84">
        <v>120.19</v>
      </c>
      <c r="I84">
        <v>2283.56</v>
      </c>
      <c r="J84" t="s">
        <v>29</v>
      </c>
      <c r="K84" t="s">
        <v>30</v>
      </c>
    </row>
    <row r="85" spans="1:11" hidden="1" x14ac:dyDescent="0.3">
      <c r="A85">
        <v>2084</v>
      </c>
      <c r="B85" t="s">
        <v>62</v>
      </c>
      <c r="C85" t="s">
        <v>26</v>
      </c>
      <c r="D85" t="s">
        <v>46</v>
      </c>
      <c r="E85" t="s">
        <v>43</v>
      </c>
      <c r="F85" t="s">
        <v>44</v>
      </c>
      <c r="G85">
        <v>11</v>
      </c>
      <c r="H85">
        <v>7.86</v>
      </c>
      <c r="I85">
        <v>86.46</v>
      </c>
      <c r="J85" t="s">
        <v>15</v>
      </c>
      <c r="K85" t="s">
        <v>30</v>
      </c>
    </row>
    <row r="86" spans="1:11" hidden="1" x14ac:dyDescent="0.3">
      <c r="A86">
        <v>2085</v>
      </c>
      <c r="B86" t="s">
        <v>85</v>
      </c>
      <c r="C86" t="s">
        <v>11</v>
      </c>
      <c r="D86" t="s">
        <v>57</v>
      </c>
      <c r="E86" t="s">
        <v>13</v>
      </c>
      <c r="F86" t="s">
        <v>28</v>
      </c>
      <c r="G86">
        <v>12</v>
      </c>
      <c r="H86">
        <v>20.91</v>
      </c>
      <c r="I86">
        <v>250.86</v>
      </c>
      <c r="J86" t="s">
        <v>29</v>
      </c>
      <c r="K86" t="s">
        <v>22</v>
      </c>
    </row>
    <row r="87" spans="1:11" hidden="1" x14ac:dyDescent="0.3">
      <c r="A87">
        <v>2086</v>
      </c>
      <c r="B87" t="s">
        <v>89</v>
      </c>
      <c r="C87" t="s">
        <v>11</v>
      </c>
      <c r="D87" t="s">
        <v>19</v>
      </c>
      <c r="E87" t="s">
        <v>43</v>
      </c>
      <c r="F87" t="s">
        <v>73</v>
      </c>
      <c r="G87">
        <v>64</v>
      </c>
      <c r="H87">
        <v>6.42</v>
      </c>
      <c r="I87">
        <v>411</v>
      </c>
      <c r="J87" t="s">
        <v>29</v>
      </c>
      <c r="K87" t="s">
        <v>22</v>
      </c>
    </row>
    <row r="88" spans="1:11" hidden="1" x14ac:dyDescent="0.3">
      <c r="A88">
        <v>2061</v>
      </c>
      <c r="B88" t="s">
        <v>56</v>
      </c>
      <c r="C88" t="s">
        <v>31</v>
      </c>
      <c r="D88" t="s">
        <v>35</v>
      </c>
      <c r="E88" t="s">
        <v>20</v>
      </c>
      <c r="F88" t="s">
        <v>33</v>
      </c>
      <c r="G88">
        <v>44</v>
      </c>
      <c r="H88">
        <v>110.37</v>
      </c>
      <c r="I88">
        <v>4856.42</v>
      </c>
      <c r="J88" t="s">
        <v>15</v>
      </c>
      <c r="K88" t="s">
        <v>22</v>
      </c>
    </row>
    <row r="89" spans="1:11" hidden="1" x14ac:dyDescent="0.3">
      <c r="A89">
        <v>2088</v>
      </c>
      <c r="B89" t="s">
        <v>90</v>
      </c>
      <c r="C89" t="s">
        <v>26</v>
      </c>
      <c r="D89" t="s">
        <v>12</v>
      </c>
      <c r="E89" t="s">
        <v>20</v>
      </c>
      <c r="F89" t="s">
        <v>41</v>
      </c>
      <c r="G89">
        <v>2</v>
      </c>
      <c r="H89">
        <v>258.82</v>
      </c>
      <c r="I89">
        <v>517.65</v>
      </c>
      <c r="J89" t="s">
        <v>29</v>
      </c>
      <c r="K89" t="s">
        <v>22</v>
      </c>
    </row>
    <row r="90" spans="1:11" hidden="1" x14ac:dyDescent="0.3">
      <c r="A90">
        <v>2132</v>
      </c>
      <c r="B90" t="s">
        <v>119</v>
      </c>
      <c r="C90" t="s">
        <v>31</v>
      </c>
      <c r="D90" t="s">
        <v>27</v>
      </c>
      <c r="E90" t="s">
        <v>13</v>
      </c>
      <c r="F90" t="s">
        <v>86</v>
      </c>
      <c r="G90">
        <v>79</v>
      </c>
      <c r="H90">
        <v>58.2</v>
      </c>
      <c r="I90">
        <v>4598.1499999999996</v>
      </c>
      <c r="J90" t="s">
        <v>15</v>
      </c>
      <c r="K90" t="s">
        <v>22</v>
      </c>
    </row>
    <row r="91" spans="1:11" hidden="1" x14ac:dyDescent="0.3">
      <c r="A91">
        <v>2090</v>
      </c>
      <c r="B91" t="s">
        <v>102</v>
      </c>
      <c r="C91" t="s">
        <v>26</v>
      </c>
      <c r="D91" t="s">
        <v>32</v>
      </c>
      <c r="E91" t="s">
        <v>43</v>
      </c>
      <c r="F91" t="s">
        <v>73</v>
      </c>
      <c r="G91">
        <v>29</v>
      </c>
      <c r="H91">
        <v>6.1</v>
      </c>
      <c r="I91">
        <v>177.04</v>
      </c>
      <c r="J91" t="s">
        <v>29</v>
      </c>
      <c r="K91" t="s">
        <v>24</v>
      </c>
    </row>
    <row r="92" spans="1:11" hidden="1" x14ac:dyDescent="0.3">
      <c r="A92">
        <v>2091</v>
      </c>
      <c r="B92" t="s">
        <v>83</v>
      </c>
      <c r="C92" t="s">
        <v>26</v>
      </c>
      <c r="D92" t="s">
        <v>19</v>
      </c>
      <c r="E92" t="s">
        <v>13</v>
      </c>
      <c r="F92" t="s">
        <v>51</v>
      </c>
      <c r="G92">
        <v>44</v>
      </c>
      <c r="H92">
        <v>23.98</v>
      </c>
      <c r="I92">
        <v>1055.06</v>
      </c>
      <c r="J92" t="s">
        <v>15</v>
      </c>
      <c r="K92" t="s">
        <v>16</v>
      </c>
    </row>
    <row r="93" spans="1:11" hidden="1" x14ac:dyDescent="0.3">
      <c r="A93">
        <v>2092</v>
      </c>
      <c r="B93" t="s">
        <v>89</v>
      </c>
      <c r="C93" t="s">
        <v>18</v>
      </c>
      <c r="D93" t="s">
        <v>19</v>
      </c>
      <c r="E93" t="s">
        <v>13</v>
      </c>
      <c r="F93" t="s">
        <v>28</v>
      </c>
      <c r="G93">
        <v>74</v>
      </c>
      <c r="H93">
        <v>19.3</v>
      </c>
      <c r="I93">
        <v>1427.94</v>
      </c>
      <c r="J93" t="s">
        <v>29</v>
      </c>
      <c r="K93" t="s">
        <v>16</v>
      </c>
    </row>
    <row r="94" spans="1:11" x14ac:dyDescent="0.3">
      <c r="A94">
        <v>2232</v>
      </c>
      <c r="B94" t="s">
        <v>132</v>
      </c>
      <c r="C94" t="s">
        <v>31</v>
      </c>
      <c r="D94" t="s">
        <v>57</v>
      </c>
      <c r="E94" t="s">
        <v>20</v>
      </c>
      <c r="F94" t="s">
        <v>61</v>
      </c>
      <c r="G94">
        <v>13</v>
      </c>
      <c r="H94">
        <v>352.03</v>
      </c>
      <c r="I94">
        <v>4576.33</v>
      </c>
      <c r="J94" t="s">
        <v>29</v>
      </c>
      <c r="K94" t="s">
        <v>30</v>
      </c>
    </row>
    <row r="95" spans="1:11" hidden="1" x14ac:dyDescent="0.3">
      <c r="A95">
        <v>2094</v>
      </c>
      <c r="B95" t="s">
        <v>104</v>
      </c>
      <c r="C95" t="s">
        <v>26</v>
      </c>
      <c r="D95" t="s">
        <v>46</v>
      </c>
      <c r="E95" t="s">
        <v>20</v>
      </c>
      <c r="F95" t="s">
        <v>61</v>
      </c>
      <c r="G95">
        <v>21</v>
      </c>
      <c r="H95">
        <v>376.4</v>
      </c>
      <c r="I95">
        <v>7904.46</v>
      </c>
      <c r="J95" t="s">
        <v>15</v>
      </c>
      <c r="K95" t="s">
        <v>30</v>
      </c>
    </row>
    <row r="96" spans="1:11" hidden="1" x14ac:dyDescent="0.3">
      <c r="A96">
        <v>2095</v>
      </c>
      <c r="B96" t="s">
        <v>105</v>
      </c>
      <c r="C96" t="s">
        <v>26</v>
      </c>
      <c r="D96" t="s">
        <v>12</v>
      </c>
      <c r="E96" t="s">
        <v>43</v>
      </c>
      <c r="F96" t="s">
        <v>73</v>
      </c>
      <c r="G96">
        <v>44</v>
      </c>
      <c r="H96">
        <v>6.08</v>
      </c>
      <c r="I96">
        <v>267.32</v>
      </c>
      <c r="J96" t="s">
        <v>15</v>
      </c>
      <c r="K96" t="s">
        <v>30</v>
      </c>
    </row>
    <row r="97" spans="1:11" hidden="1" x14ac:dyDescent="0.3">
      <c r="A97">
        <v>2096</v>
      </c>
      <c r="B97" t="s">
        <v>77</v>
      </c>
      <c r="C97" t="s">
        <v>26</v>
      </c>
      <c r="D97" t="s">
        <v>27</v>
      </c>
      <c r="E97" t="s">
        <v>20</v>
      </c>
      <c r="F97" t="s">
        <v>75</v>
      </c>
      <c r="G97">
        <v>72</v>
      </c>
      <c r="H97">
        <v>877.35</v>
      </c>
      <c r="I97">
        <v>63169.4</v>
      </c>
      <c r="J97" t="s">
        <v>15</v>
      </c>
      <c r="K97" t="s">
        <v>30</v>
      </c>
    </row>
    <row r="98" spans="1:11" hidden="1" x14ac:dyDescent="0.3">
      <c r="A98">
        <v>2097</v>
      </c>
      <c r="B98" t="s">
        <v>69</v>
      </c>
      <c r="C98" t="s">
        <v>26</v>
      </c>
      <c r="D98" t="s">
        <v>12</v>
      </c>
      <c r="E98" t="s">
        <v>20</v>
      </c>
      <c r="F98" t="s">
        <v>41</v>
      </c>
      <c r="G98">
        <v>37</v>
      </c>
      <c r="H98">
        <v>227.49</v>
      </c>
      <c r="I98">
        <v>8417.0400000000009</v>
      </c>
      <c r="J98" t="s">
        <v>29</v>
      </c>
      <c r="K98" t="s">
        <v>24</v>
      </c>
    </row>
    <row r="99" spans="1:11" hidden="1" x14ac:dyDescent="0.3">
      <c r="A99">
        <v>2098</v>
      </c>
      <c r="B99" t="s">
        <v>97</v>
      </c>
      <c r="C99" t="s">
        <v>18</v>
      </c>
      <c r="D99" t="s">
        <v>57</v>
      </c>
      <c r="E99" t="s">
        <v>20</v>
      </c>
      <c r="F99" t="s">
        <v>21</v>
      </c>
      <c r="G99">
        <v>70</v>
      </c>
      <c r="H99">
        <v>180.41</v>
      </c>
      <c r="I99">
        <v>12628.41</v>
      </c>
      <c r="J99" t="s">
        <v>29</v>
      </c>
      <c r="K99" t="s">
        <v>30</v>
      </c>
    </row>
    <row r="100" spans="1:11" hidden="1" x14ac:dyDescent="0.3">
      <c r="A100">
        <v>2099</v>
      </c>
      <c r="B100" t="s">
        <v>52</v>
      </c>
      <c r="C100" t="s">
        <v>11</v>
      </c>
      <c r="D100" t="s">
        <v>35</v>
      </c>
      <c r="E100" t="s">
        <v>13</v>
      </c>
      <c r="F100" t="s">
        <v>28</v>
      </c>
      <c r="G100">
        <v>16</v>
      </c>
      <c r="H100">
        <v>20.84</v>
      </c>
      <c r="I100">
        <v>333.42</v>
      </c>
      <c r="J100" t="s">
        <v>29</v>
      </c>
      <c r="K100" t="s">
        <v>16</v>
      </c>
    </row>
    <row r="101" spans="1:11" x14ac:dyDescent="0.3">
      <c r="A101">
        <v>2043</v>
      </c>
      <c r="B101" t="s">
        <v>79</v>
      </c>
      <c r="C101" t="s">
        <v>31</v>
      </c>
      <c r="D101" t="s">
        <v>35</v>
      </c>
      <c r="E101" t="s">
        <v>20</v>
      </c>
      <c r="F101" t="s">
        <v>41</v>
      </c>
      <c r="G101">
        <v>19</v>
      </c>
      <c r="H101">
        <v>237.9</v>
      </c>
      <c r="I101">
        <v>4520.1000000000004</v>
      </c>
      <c r="J101" t="s">
        <v>29</v>
      </c>
      <c r="K101" t="s">
        <v>16</v>
      </c>
    </row>
    <row r="102" spans="1:11" hidden="1" x14ac:dyDescent="0.3">
      <c r="A102">
        <v>2101</v>
      </c>
      <c r="B102" t="s">
        <v>101</v>
      </c>
      <c r="C102" t="s">
        <v>26</v>
      </c>
      <c r="D102" t="s">
        <v>39</v>
      </c>
      <c r="E102" t="s">
        <v>43</v>
      </c>
      <c r="F102" t="s">
        <v>73</v>
      </c>
      <c r="G102">
        <v>23</v>
      </c>
      <c r="H102">
        <v>6.51</v>
      </c>
      <c r="I102">
        <v>149.63</v>
      </c>
      <c r="J102" t="s">
        <v>29</v>
      </c>
      <c r="K102" t="s">
        <v>16</v>
      </c>
    </row>
    <row r="103" spans="1:11" hidden="1" x14ac:dyDescent="0.3">
      <c r="A103">
        <v>2102</v>
      </c>
      <c r="B103" t="s">
        <v>80</v>
      </c>
      <c r="C103" t="s">
        <v>26</v>
      </c>
      <c r="D103" t="s">
        <v>27</v>
      </c>
      <c r="E103" t="s">
        <v>20</v>
      </c>
      <c r="F103" t="s">
        <v>33</v>
      </c>
      <c r="G103">
        <v>44</v>
      </c>
      <c r="H103">
        <v>125.5</v>
      </c>
      <c r="I103">
        <v>5521.98</v>
      </c>
      <c r="J103" t="s">
        <v>29</v>
      </c>
      <c r="K103" t="s">
        <v>30</v>
      </c>
    </row>
    <row r="104" spans="1:11" hidden="1" x14ac:dyDescent="0.3">
      <c r="A104">
        <v>2103</v>
      </c>
      <c r="B104" t="s">
        <v>106</v>
      </c>
      <c r="C104" t="s">
        <v>26</v>
      </c>
      <c r="D104" t="s">
        <v>57</v>
      </c>
      <c r="E104" t="s">
        <v>20</v>
      </c>
      <c r="F104" t="s">
        <v>33</v>
      </c>
      <c r="G104">
        <v>65</v>
      </c>
      <c r="H104">
        <v>118.49</v>
      </c>
      <c r="I104">
        <v>7701.53</v>
      </c>
      <c r="J104" t="s">
        <v>15</v>
      </c>
      <c r="K104" t="s">
        <v>16</v>
      </c>
    </row>
    <row r="105" spans="1:11" hidden="1" x14ac:dyDescent="0.3">
      <c r="A105">
        <v>2104</v>
      </c>
      <c r="B105" t="s">
        <v>107</v>
      </c>
      <c r="C105" t="s">
        <v>11</v>
      </c>
      <c r="D105" t="s">
        <v>39</v>
      </c>
      <c r="E105" t="s">
        <v>43</v>
      </c>
      <c r="F105" t="s">
        <v>44</v>
      </c>
      <c r="G105">
        <v>53</v>
      </c>
      <c r="H105">
        <v>7.3</v>
      </c>
      <c r="I105">
        <v>386.92</v>
      </c>
      <c r="J105" t="s">
        <v>29</v>
      </c>
      <c r="K105" t="s">
        <v>30</v>
      </c>
    </row>
    <row r="106" spans="1:11" hidden="1" x14ac:dyDescent="0.3">
      <c r="A106">
        <v>2105</v>
      </c>
      <c r="B106" t="s">
        <v>98</v>
      </c>
      <c r="C106" t="s">
        <v>26</v>
      </c>
      <c r="D106" t="s">
        <v>39</v>
      </c>
      <c r="E106" t="s">
        <v>13</v>
      </c>
      <c r="F106" t="s">
        <v>14</v>
      </c>
      <c r="G106">
        <v>2</v>
      </c>
      <c r="H106">
        <v>72.819999999999993</v>
      </c>
      <c r="I106">
        <v>145.63999999999999</v>
      </c>
      <c r="J106" t="s">
        <v>29</v>
      </c>
      <c r="K106" t="s">
        <v>24</v>
      </c>
    </row>
    <row r="107" spans="1:11" hidden="1" x14ac:dyDescent="0.3">
      <c r="A107">
        <v>2106</v>
      </c>
      <c r="B107" t="s">
        <v>77</v>
      </c>
      <c r="C107" t="s">
        <v>11</v>
      </c>
      <c r="D107" t="s">
        <v>57</v>
      </c>
      <c r="E107" t="s">
        <v>43</v>
      </c>
      <c r="F107" t="s">
        <v>49</v>
      </c>
      <c r="G107">
        <v>79</v>
      </c>
      <c r="H107">
        <v>1.63</v>
      </c>
      <c r="I107">
        <v>129.04</v>
      </c>
      <c r="J107" t="s">
        <v>15</v>
      </c>
      <c r="K107" t="s">
        <v>30</v>
      </c>
    </row>
    <row r="108" spans="1:11" hidden="1" x14ac:dyDescent="0.3">
      <c r="A108">
        <v>2107</v>
      </c>
      <c r="B108" t="s">
        <v>108</v>
      </c>
      <c r="C108" t="s">
        <v>26</v>
      </c>
      <c r="D108" t="s">
        <v>57</v>
      </c>
      <c r="E108" t="s">
        <v>20</v>
      </c>
      <c r="F108" t="s">
        <v>41</v>
      </c>
      <c r="G108">
        <v>28</v>
      </c>
      <c r="H108">
        <v>267.05</v>
      </c>
      <c r="I108">
        <v>7477.41</v>
      </c>
      <c r="J108" t="s">
        <v>15</v>
      </c>
      <c r="K108" t="s">
        <v>16</v>
      </c>
    </row>
    <row r="109" spans="1:11" x14ac:dyDescent="0.3">
      <c r="A109">
        <v>2005</v>
      </c>
      <c r="B109" t="s">
        <v>17</v>
      </c>
      <c r="C109" t="s">
        <v>31</v>
      </c>
      <c r="D109" t="s">
        <v>32</v>
      </c>
      <c r="E109" t="s">
        <v>20</v>
      </c>
      <c r="F109" t="s">
        <v>33</v>
      </c>
      <c r="G109">
        <v>34</v>
      </c>
      <c r="H109">
        <v>124.15</v>
      </c>
      <c r="I109">
        <v>4221.08</v>
      </c>
      <c r="J109" t="s">
        <v>29</v>
      </c>
      <c r="K109" t="s">
        <v>16</v>
      </c>
    </row>
    <row r="110" spans="1:11" hidden="1" x14ac:dyDescent="0.3">
      <c r="A110">
        <v>2109</v>
      </c>
      <c r="B110" t="s">
        <v>109</v>
      </c>
      <c r="C110" t="s">
        <v>18</v>
      </c>
      <c r="D110" t="s">
        <v>12</v>
      </c>
      <c r="E110" t="s">
        <v>13</v>
      </c>
      <c r="F110" t="s">
        <v>86</v>
      </c>
      <c r="G110">
        <v>39</v>
      </c>
      <c r="H110">
        <v>61.1</v>
      </c>
      <c r="I110">
        <v>2382.92</v>
      </c>
      <c r="J110" t="s">
        <v>15</v>
      </c>
      <c r="K110" t="s">
        <v>16</v>
      </c>
    </row>
    <row r="111" spans="1:11" hidden="1" x14ac:dyDescent="0.3">
      <c r="A111">
        <v>2110</v>
      </c>
      <c r="B111" t="s">
        <v>84</v>
      </c>
      <c r="C111" t="s">
        <v>11</v>
      </c>
      <c r="D111" t="s">
        <v>19</v>
      </c>
      <c r="E111" t="s">
        <v>13</v>
      </c>
      <c r="F111" t="s">
        <v>51</v>
      </c>
      <c r="G111">
        <v>74</v>
      </c>
      <c r="H111">
        <v>25.48</v>
      </c>
      <c r="I111">
        <v>1885.57</v>
      </c>
      <c r="J111" t="s">
        <v>29</v>
      </c>
      <c r="K111" t="s">
        <v>24</v>
      </c>
    </row>
    <row r="112" spans="1:11" hidden="1" x14ac:dyDescent="0.3">
      <c r="A112">
        <v>2172</v>
      </c>
      <c r="B112" t="s">
        <v>63</v>
      </c>
      <c r="C112" t="s">
        <v>31</v>
      </c>
      <c r="D112" t="s">
        <v>39</v>
      </c>
      <c r="E112" t="s">
        <v>13</v>
      </c>
      <c r="F112" t="s">
        <v>14</v>
      </c>
      <c r="G112">
        <v>61</v>
      </c>
      <c r="H112">
        <v>67.8</v>
      </c>
      <c r="I112">
        <v>4135.82</v>
      </c>
      <c r="J112" t="s">
        <v>15</v>
      </c>
      <c r="K112" t="s">
        <v>22</v>
      </c>
    </row>
    <row r="113" spans="1:11" hidden="1" x14ac:dyDescent="0.3">
      <c r="A113">
        <v>2112</v>
      </c>
      <c r="B113" t="s">
        <v>106</v>
      </c>
      <c r="C113" t="s">
        <v>11</v>
      </c>
      <c r="D113" t="s">
        <v>57</v>
      </c>
      <c r="E113" t="s">
        <v>20</v>
      </c>
      <c r="F113" t="s">
        <v>41</v>
      </c>
      <c r="G113">
        <v>43</v>
      </c>
      <c r="H113">
        <v>229.83</v>
      </c>
      <c r="I113">
        <v>9882.5499999999993</v>
      </c>
      <c r="J113" t="s">
        <v>15</v>
      </c>
      <c r="K113" t="s">
        <v>16</v>
      </c>
    </row>
    <row r="114" spans="1:11" hidden="1" x14ac:dyDescent="0.3">
      <c r="A114">
        <v>2113</v>
      </c>
      <c r="B114" t="s">
        <v>38</v>
      </c>
      <c r="C114" t="s">
        <v>26</v>
      </c>
      <c r="D114" t="s">
        <v>12</v>
      </c>
      <c r="E114" t="s">
        <v>20</v>
      </c>
      <c r="F114" t="s">
        <v>33</v>
      </c>
      <c r="G114">
        <v>71</v>
      </c>
      <c r="H114">
        <v>127.5</v>
      </c>
      <c r="I114">
        <v>9052.51</v>
      </c>
      <c r="J114" t="s">
        <v>15</v>
      </c>
      <c r="K114" t="s">
        <v>22</v>
      </c>
    </row>
    <row r="115" spans="1:11" hidden="1" x14ac:dyDescent="0.3">
      <c r="A115">
        <v>2114</v>
      </c>
      <c r="B115" t="s">
        <v>110</v>
      </c>
      <c r="C115" t="s">
        <v>26</v>
      </c>
      <c r="D115" t="s">
        <v>39</v>
      </c>
      <c r="E115" t="s">
        <v>43</v>
      </c>
      <c r="F115" t="s">
        <v>47</v>
      </c>
      <c r="G115">
        <v>31</v>
      </c>
      <c r="H115">
        <v>3.63</v>
      </c>
      <c r="I115">
        <v>112.66</v>
      </c>
      <c r="J115" t="s">
        <v>15</v>
      </c>
      <c r="K115" t="s">
        <v>22</v>
      </c>
    </row>
    <row r="116" spans="1:11" hidden="1" x14ac:dyDescent="0.3">
      <c r="A116">
        <v>2115</v>
      </c>
      <c r="B116" t="s">
        <v>111</v>
      </c>
      <c r="C116" t="s">
        <v>26</v>
      </c>
      <c r="D116" t="s">
        <v>12</v>
      </c>
      <c r="E116" t="s">
        <v>43</v>
      </c>
      <c r="F116" t="s">
        <v>47</v>
      </c>
      <c r="G116">
        <v>38</v>
      </c>
      <c r="H116">
        <v>3.82</v>
      </c>
      <c r="I116">
        <v>145.32</v>
      </c>
      <c r="J116" t="s">
        <v>29</v>
      </c>
      <c r="K116" t="s">
        <v>22</v>
      </c>
    </row>
    <row r="117" spans="1:11" hidden="1" x14ac:dyDescent="0.3">
      <c r="A117">
        <v>2116</v>
      </c>
      <c r="B117" t="s">
        <v>56</v>
      </c>
      <c r="C117" t="s">
        <v>11</v>
      </c>
      <c r="D117" t="s">
        <v>57</v>
      </c>
      <c r="E117" t="s">
        <v>43</v>
      </c>
      <c r="F117" t="s">
        <v>64</v>
      </c>
      <c r="G117">
        <v>67</v>
      </c>
      <c r="H117">
        <v>3.14</v>
      </c>
      <c r="I117">
        <v>210.6</v>
      </c>
      <c r="J117" t="s">
        <v>29</v>
      </c>
      <c r="K117" t="s">
        <v>22</v>
      </c>
    </row>
    <row r="118" spans="1:11" hidden="1" x14ac:dyDescent="0.3">
      <c r="A118">
        <v>2117</v>
      </c>
      <c r="B118" t="s">
        <v>112</v>
      </c>
      <c r="C118" t="s">
        <v>26</v>
      </c>
      <c r="D118" t="s">
        <v>19</v>
      </c>
      <c r="E118" t="s">
        <v>13</v>
      </c>
      <c r="F118" t="s">
        <v>81</v>
      </c>
      <c r="G118">
        <v>33</v>
      </c>
      <c r="H118">
        <v>164.37</v>
      </c>
      <c r="I118">
        <v>5424.24</v>
      </c>
      <c r="J118" t="s">
        <v>29</v>
      </c>
      <c r="K118" t="s">
        <v>24</v>
      </c>
    </row>
    <row r="119" spans="1:11" hidden="1" x14ac:dyDescent="0.3">
      <c r="A119">
        <v>2118</v>
      </c>
      <c r="B119" t="s">
        <v>113</v>
      </c>
      <c r="C119" t="s">
        <v>11</v>
      </c>
      <c r="D119" t="s">
        <v>32</v>
      </c>
      <c r="E119" t="s">
        <v>13</v>
      </c>
      <c r="F119" t="s">
        <v>67</v>
      </c>
      <c r="G119">
        <v>78</v>
      </c>
      <c r="H119">
        <v>973.46</v>
      </c>
      <c r="I119">
        <v>75929.67</v>
      </c>
      <c r="J119" t="s">
        <v>15</v>
      </c>
      <c r="K119" t="s">
        <v>24</v>
      </c>
    </row>
    <row r="120" spans="1:11" hidden="1" x14ac:dyDescent="0.3">
      <c r="A120">
        <v>2119</v>
      </c>
      <c r="B120" t="s">
        <v>114</v>
      </c>
      <c r="C120" t="s">
        <v>18</v>
      </c>
      <c r="D120" t="s">
        <v>27</v>
      </c>
      <c r="E120" t="s">
        <v>43</v>
      </c>
      <c r="F120" t="s">
        <v>49</v>
      </c>
      <c r="G120">
        <v>4</v>
      </c>
      <c r="H120">
        <v>1.43</v>
      </c>
      <c r="I120">
        <v>5.72</v>
      </c>
      <c r="J120" t="s">
        <v>29</v>
      </c>
      <c r="K120" t="s">
        <v>16</v>
      </c>
    </row>
    <row r="121" spans="1:11" hidden="1" x14ac:dyDescent="0.3">
      <c r="A121">
        <v>2041</v>
      </c>
      <c r="B121" t="s">
        <v>77</v>
      </c>
      <c r="C121" t="s">
        <v>31</v>
      </c>
      <c r="D121" t="s">
        <v>19</v>
      </c>
      <c r="E121" t="s">
        <v>13</v>
      </c>
      <c r="F121" t="s">
        <v>14</v>
      </c>
      <c r="G121">
        <v>54</v>
      </c>
      <c r="H121">
        <v>74.510000000000005</v>
      </c>
      <c r="I121">
        <v>4023.8</v>
      </c>
      <c r="J121" t="s">
        <v>15</v>
      </c>
      <c r="K121" t="s">
        <v>24</v>
      </c>
    </row>
    <row r="122" spans="1:11" hidden="1" x14ac:dyDescent="0.3">
      <c r="A122">
        <v>2121</v>
      </c>
      <c r="B122" t="s">
        <v>104</v>
      </c>
      <c r="C122" t="s">
        <v>26</v>
      </c>
      <c r="D122" t="s">
        <v>12</v>
      </c>
      <c r="E122" t="s">
        <v>43</v>
      </c>
      <c r="F122" t="s">
        <v>73</v>
      </c>
      <c r="G122">
        <v>31</v>
      </c>
      <c r="H122">
        <v>5.94</v>
      </c>
      <c r="I122">
        <v>184.1</v>
      </c>
      <c r="J122" t="s">
        <v>29</v>
      </c>
      <c r="K122" t="s">
        <v>16</v>
      </c>
    </row>
    <row r="123" spans="1:11" hidden="1" x14ac:dyDescent="0.3">
      <c r="A123">
        <v>2122</v>
      </c>
      <c r="B123" t="s">
        <v>101</v>
      </c>
      <c r="C123" t="s">
        <v>18</v>
      </c>
      <c r="D123" t="s">
        <v>32</v>
      </c>
      <c r="E123" t="s">
        <v>13</v>
      </c>
      <c r="F123" t="s">
        <v>51</v>
      </c>
      <c r="G123">
        <v>62</v>
      </c>
      <c r="H123">
        <v>23.46</v>
      </c>
      <c r="I123">
        <v>1454.78</v>
      </c>
      <c r="J123" t="s">
        <v>15</v>
      </c>
      <c r="K123" t="s">
        <v>16</v>
      </c>
    </row>
    <row r="124" spans="1:11" hidden="1" x14ac:dyDescent="0.3">
      <c r="A124">
        <v>2123</v>
      </c>
      <c r="B124" t="s">
        <v>90</v>
      </c>
      <c r="C124" t="s">
        <v>18</v>
      </c>
      <c r="D124" t="s">
        <v>57</v>
      </c>
      <c r="E124" t="s">
        <v>20</v>
      </c>
      <c r="F124" t="s">
        <v>21</v>
      </c>
      <c r="G124">
        <v>14</v>
      </c>
      <c r="H124">
        <v>193.25</v>
      </c>
      <c r="I124">
        <v>2705.46</v>
      </c>
      <c r="J124" t="s">
        <v>15</v>
      </c>
      <c r="K124" t="s">
        <v>22</v>
      </c>
    </row>
    <row r="125" spans="1:11" hidden="1" x14ac:dyDescent="0.3">
      <c r="A125">
        <v>2124</v>
      </c>
      <c r="B125" t="s">
        <v>63</v>
      </c>
      <c r="C125" t="s">
        <v>11</v>
      </c>
      <c r="D125" t="s">
        <v>35</v>
      </c>
      <c r="E125" t="s">
        <v>43</v>
      </c>
      <c r="F125" t="s">
        <v>73</v>
      </c>
      <c r="G125">
        <v>42</v>
      </c>
      <c r="H125">
        <v>5.57</v>
      </c>
      <c r="I125">
        <v>233.94</v>
      </c>
      <c r="J125" t="s">
        <v>15</v>
      </c>
      <c r="K125" t="s">
        <v>22</v>
      </c>
    </row>
    <row r="126" spans="1:11" hidden="1" x14ac:dyDescent="0.3">
      <c r="A126">
        <v>2125</v>
      </c>
      <c r="B126" t="s">
        <v>115</v>
      </c>
      <c r="C126" t="s">
        <v>26</v>
      </c>
      <c r="D126" t="s">
        <v>32</v>
      </c>
      <c r="E126" t="s">
        <v>20</v>
      </c>
      <c r="F126" t="s">
        <v>41</v>
      </c>
      <c r="G126">
        <v>53</v>
      </c>
      <c r="H126">
        <v>232.18</v>
      </c>
      <c r="I126">
        <v>12305.66</v>
      </c>
      <c r="J126" t="s">
        <v>15</v>
      </c>
      <c r="K126" t="s">
        <v>16</v>
      </c>
    </row>
    <row r="127" spans="1:11" hidden="1" x14ac:dyDescent="0.3">
      <c r="A127">
        <v>2126</v>
      </c>
      <c r="B127" t="s">
        <v>90</v>
      </c>
      <c r="C127" t="s">
        <v>26</v>
      </c>
      <c r="D127" t="s">
        <v>32</v>
      </c>
      <c r="E127" t="s">
        <v>43</v>
      </c>
      <c r="F127" t="s">
        <v>64</v>
      </c>
      <c r="G127">
        <v>39</v>
      </c>
      <c r="H127">
        <v>2.8</v>
      </c>
      <c r="I127">
        <v>109.11</v>
      </c>
      <c r="J127" t="s">
        <v>29</v>
      </c>
      <c r="K127" t="s">
        <v>16</v>
      </c>
    </row>
    <row r="128" spans="1:11" hidden="1" x14ac:dyDescent="0.3">
      <c r="A128">
        <v>2127</v>
      </c>
      <c r="B128" t="s">
        <v>95</v>
      </c>
      <c r="C128" t="s">
        <v>18</v>
      </c>
      <c r="D128" t="s">
        <v>19</v>
      </c>
      <c r="E128" t="s">
        <v>13</v>
      </c>
      <c r="F128" t="s">
        <v>81</v>
      </c>
      <c r="G128">
        <v>21</v>
      </c>
      <c r="H128">
        <v>166.89</v>
      </c>
      <c r="I128">
        <v>3504.72</v>
      </c>
      <c r="J128" t="s">
        <v>15</v>
      </c>
      <c r="K128" t="s">
        <v>30</v>
      </c>
    </row>
    <row r="129" spans="1:11" x14ac:dyDescent="0.3">
      <c r="A129">
        <v>2050</v>
      </c>
      <c r="B129" t="s">
        <v>85</v>
      </c>
      <c r="C129" t="s">
        <v>31</v>
      </c>
      <c r="D129" t="s">
        <v>35</v>
      </c>
      <c r="E129" t="s">
        <v>13</v>
      </c>
      <c r="F129" t="s">
        <v>86</v>
      </c>
      <c r="G129">
        <v>59</v>
      </c>
      <c r="H129">
        <v>65.77</v>
      </c>
      <c r="I129">
        <v>3880.28</v>
      </c>
      <c r="J129" t="s">
        <v>29</v>
      </c>
      <c r="K129" t="s">
        <v>22</v>
      </c>
    </row>
    <row r="130" spans="1:11" hidden="1" x14ac:dyDescent="0.3">
      <c r="A130">
        <v>2129</v>
      </c>
      <c r="B130" t="s">
        <v>103</v>
      </c>
      <c r="C130" t="s">
        <v>11</v>
      </c>
      <c r="D130" t="s">
        <v>27</v>
      </c>
      <c r="E130" t="s">
        <v>43</v>
      </c>
      <c r="F130" t="s">
        <v>49</v>
      </c>
      <c r="G130">
        <v>51</v>
      </c>
      <c r="H130">
        <v>1.5</v>
      </c>
      <c r="I130">
        <v>76.72</v>
      </c>
      <c r="J130" t="s">
        <v>29</v>
      </c>
      <c r="K130" t="s">
        <v>16</v>
      </c>
    </row>
    <row r="131" spans="1:11" hidden="1" x14ac:dyDescent="0.3">
      <c r="A131">
        <v>2130</v>
      </c>
      <c r="B131" t="s">
        <v>117</v>
      </c>
      <c r="C131" t="s">
        <v>18</v>
      </c>
      <c r="D131" t="s">
        <v>57</v>
      </c>
      <c r="E131" t="s">
        <v>43</v>
      </c>
      <c r="F131" t="s">
        <v>47</v>
      </c>
      <c r="G131">
        <v>1</v>
      </c>
      <c r="H131">
        <v>4.22</v>
      </c>
      <c r="I131">
        <v>4.22</v>
      </c>
      <c r="J131" t="s">
        <v>29</v>
      </c>
      <c r="K131" t="s">
        <v>24</v>
      </c>
    </row>
    <row r="132" spans="1:11" x14ac:dyDescent="0.3">
      <c r="A132">
        <v>2071</v>
      </c>
      <c r="B132" t="s">
        <v>96</v>
      </c>
      <c r="C132" t="s">
        <v>31</v>
      </c>
      <c r="D132" t="s">
        <v>39</v>
      </c>
      <c r="E132" t="s">
        <v>13</v>
      </c>
      <c r="F132" t="s">
        <v>86</v>
      </c>
      <c r="G132">
        <v>65</v>
      </c>
      <c r="H132">
        <v>59.14</v>
      </c>
      <c r="I132">
        <v>3843.89</v>
      </c>
      <c r="J132" t="s">
        <v>29</v>
      </c>
      <c r="K132" t="s">
        <v>30</v>
      </c>
    </row>
    <row r="133" spans="1:11" x14ac:dyDescent="0.3">
      <c r="A133">
        <v>2054</v>
      </c>
      <c r="B133" t="s">
        <v>89</v>
      </c>
      <c r="C133" t="s">
        <v>31</v>
      </c>
      <c r="D133" t="s">
        <v>35</v>
      </c>
      <c r="E133" t="s">
        <v>20</v>
      </c>
      <c r="F133" t="s">
        <v>41</v>
      </c>
      <c r="G133">
        <v>14</v>
      </c>
      <c r="H133">
        <v>273.60000000000002</v>
      </c>
      <c r="I133">
        <v>3830.35</v>
      </c>
      <c r="J133" t="s">
        <v>29</v>
      </c>
      <c r="K133" t="s">
        <v>24</v>
      </c>
    </row>
    <row r="134" spans="1:11" hidden="1" x14ac:dyDescent="0.3">
      <c r="A134">
        <v>2133</v>
      </c>
      <c r="B134" t="s">
        <v>59</v>
      </c>
      <c r="C134" t="s">
        <v>26</v>
      </c>
      <c r="D134" t="s">
        <v>35</v>
      </c>
      <c r="E134" t="s">
        <v>20</v>
      </c>
      <c r="F134" t="s">
        <v>41</v>
      </c>
      <c r="G134">
        <v>39</v>
      </c>
      <c r="H134">
        <v>231.37</v>
      </c>
      <c r="I134">
        <v>9023.5</v>
      </c>
      <c r="J134" t="s">
        <v>15</v>
      </c>
      <c r="K134" t="s">
        <v>30</v>
      </c>
    </row>
    <row r="135" spans="1:11" hidden="1" x14ac:dyDescent="0.3">
      <c r="A135">
        <v>2134</v>
      </c>
      <c r="B135" t="s">
        <v>96</v>
      </c>
      <c r="C135" t="s">
        <v>11</v>
      </c>
      <c r="D135" t="s">
        <v>12</v>
      </c>
      <c r="E135" t="s">
        <v>13</v>
      </c>
      <c r="F135" t="s">
        <v>67</v>
      </c>
      <c r="G135">
        <v>22</v>
      </c>
      <c r="H135">
        <v>941.42</v>
      </c>
      <c r="I135">
        <v>20711.21</v>
      </c>
      <c r="J135" t="s">
        <v>15</v>
      </c>
      <c r="K135" t="s">
        <v>30</v>
      </c>
    </row>
    <row r="136" spans="1:11" hidden="1" x14ac:dyDescent="0.3">
      <c r="A136">
        <v>2135</v>
      </c>
      <c r="B136" t="s">
        <v>79</v>
      </c>
      <c r="C136" t="s">
        <v>18</v>
      </c>
      <c r="D136" t="s">
        <v>35</v>
      </c>
      <c r="E136" t="s">
        <v>13</v>
      </c>
      <c r="F136" t="s">
        <v>14</v>
      </c>
      <c r="G136">
        <v>6</v>
      </c>
      <c r="H136">
        <v>74.73</v>
      </c>
      <c r="I136">
        <v>448.4</v>
      </c>
      <c r="J136" t="s">
        <v>29</v>
      </c>
      <c r="K136" t="s">
        <v>30</v>
      </c>
    </row>
    <row r="137" spans="1:11" hidden="1" x14ac:dyDescent="0.3">
      <c r="A137">
        <v>2131</v>
      </c>
      <c r="B137" t="s">
        <v>118</v>
      </c>
      <c r="C137" t="s">
        <v>31</v>
      </c>
      <c r="D137" t="s">
        <v>12</v>
      </c>
      <c r="E137" t="s">
        <v>13</v>
      </c>
      <c r="F137" t="s">
        <v>36</v>
      </c>
      <c r="G137">
        <v>10</v>
      </c>
      <c r="H137">
        <v>300.22000000000003</v>
      </c>
      <c r="I137">
        <v>3002.25</v>
      </c>
      <c r="J137" t="s">
        <v>15</v>
      </c>
      <c r="K137" t="s">
        <v>16</v>
      </c>
    </row>
    <row r="138" spans="1:11" hidden="1" x14ac:dyDescent="0.3">
      <c r="A138">
        <v>2137</v>
      </c>
      <c r="B138" t="s">
        <v>120</v>
      </c>
      <c r="C138" t="s">
        <v>11</v>
      </c>
      <c r="D138" t="s">
        <v>39</v>
      </c>
      <c r="E138" t="s">
        <v>43</v>
      </c>
      <c r="F138" t="s">
        <v>73</v>
      </c>
      <c r="G138">
        <v>57</v>
      </c>
      <c r="H138">
        <v>5.95</v>
      </c>
      <c r="I138">
        <v>338.91</v>
      </c>
      <c r="J138" t="s">
        <v>15</v>
      </c>
      <c r="K138" t="s">
        <v>16</v>
      </c>
    </row>
    <row r="139" spans="1:11" hidden="1" x14ac:dyDescent="0.3">
      <c r="A139">
        <v>2138</v>
      </c>
      <c r="B139" t="s">
        <v>91</v>
      </c>
      <c r="C139" t="s">
        <v>18</v>
      </c>
      <c r="D139" t="s">
        <v>19</v>
      </c>
      <c r="E139" t="s">
        <v>13</v>
      </c>
      <c r="F139" t="s">
        <v>36</v>
      </c>
      <c r="G139">
        <v>76</v>
      </c>
      <c r="H139">
        <v>295.58</v>
      </c>
      <c r="I139">
        <v>22463.9</v>
      </c>
      <c r="J139" t="s">
        <v>29</v>
      </c>
      <c r="K139" t="s">
        <v>30</v>
      </c>
    </row>
    <row r="140" spans="1:11" hidden="1" x14ac:dyDescent="0.3">
      <c r="A140">
        <v>2139</v>
      </c>
      <c r="B140" t="s">
        <v>70</v>
      </c>
      <c r="C140" t="s">
        <v>11</v>
      </c>
      <c r="D140" t="s">
        <v>27</v>
      </c>
      <c r="E140" t="s">
        <v>43</v>
      </c>
      <c r="F140" t="s">
        <v>44</v>
      </c>
      <c r="G140">
        <v>31</v>
      </c>
      <c r="H140">
        <v>7.47</v>
      </c>
      <c r="I140">
        <v>231.48</v>
      </c>
      <c r="J140" t="s">
        <v>29</v>
      </c>
      <c r="K140" t="s">
        <v>24</v>
      </c>
    </row>
    <row r="141" spans="1:11" hidden="1" x14ac:dyDescent="0.3">
      <c r="A141">
        <v>2140</v>
      </c>
      <c r="B141" t="s">
        <v>119</v>
      </c>
      <c r="C141" t="s">
        <v>26</v>
      </c>
      <c r="D141" t="s">
        <v>27</v>
      </c>
      <c r="E141" t="s">
        <v>43</v>
      </c>
      <c r="F141" t="s">
        <v>49</v>
      </c>
      <c r="G141">
        <v>76</v>
      </c>
      <c r="H141">
        <v>1.59</v>
      </c>
      <c r="I141">
        <v>120.58</v>
      </c>
      <c r="J141" t="s">
        <v>15</v>
      </c>
      <c r="K141" t="s">
        <v>30</v>
      </c>
    </row>
    <row r="142" spans="1:11" hidden="1" x14ac:dyDescent="0.3">
      <c r="A142">
        <v>2249</v>
      </c>
      <c r="B142" t="s">
        <v>102</v>
      </c>
      <c r="C142" t="s">
        <v>31</v>
      </c>
      <c r="D142" t="s">
        <v>19</v>
      </c>
      <c r="E142" t="s">
        <v>13</v>
      </c>
      <c r="F142" t="s">
        <v>86</v>
      </c>
      <c r="G142">
        <v>45</v>
      </c>
      <c r="H142">
        <v>63.1</v>
      </c>
      <c r="I142">
        <v>2839.42</v>
      </c>
      <c r="J142" t="s">
        <v>15</v>
      </c>
      <c r="K142" t="s">
        <v>24</v>
      </c>
    </row>
    <row r="143" spans="1:11" hidden="1" x14ac:dyDescent="0.3">
      <c r="A143">
        <v>2260</v>
      </c>
      <c r="B143" t="s">
        <v>105</v>
      </c>
      <c r="C143" t="s">
        <v>31</v>
      </c>
      <c r="D143" t="s">
        <v>32</v>
      </c>
      <c r="E143" t="s">
        <v>20</v>
      </c>
      <c r="F143" t="s">
        <v>41</v>
      </c>
      <c r="G143">
        <v>10</v>
      </c>
      <c r="H143">
        <v>267.64</v>
      </c>
      <c r="I143">
        <v>2676.36</v>
      </c>
      <c r="J143" t="s">
        <v>15</v>
      </c>
      <c r="K143" t="s">
        <v>24</v>
      </c>
    </row>
    <row r="144" spans="1:11" x14ac:dyDescent="0.3">
      <c r="A144">
        <v>2241</v>
      </c>
      <c r="B144" t="s">
        <v>83</v>
      </c>
      <c r="C144" t="s">
        <v>31</v>
      </c>
      <c r="D144" t="s">
        <v>12</v>
      </c>
      <c r="E144" t="s">
        <v>13</v>
      </c>
      <c r="F144" t="s">
        <v>51</v>
      </c>
      <c r="G144">
        <v>79</v>
      </c>
      <c r="H144">
        <v>26.54</v>
      </c>
      <c r="I144">
        <v>2096.9699999999998</v>
      </c>
      <c r="J144" t="s">
        <v>29</v>
      </c>
      <c r="K144" t="s">
        <v>22</v>
      </c>
    </row>
    <row r="145" spans="1:11" hidden="1" x14ac:dyDescent="0.3">
      <c r="A145">
        <v>2144</v>
      </c>
      <c r="B145" t="s">
        <v>23</v>
      </c>
      <c r="C145" t="s">
        <v>18</v>
      </c>
      <c r="D145" t="s">
        <v>39</v>
      </c>
      <c r="E145" t="s">
        <v>20</v>
      </c>
      <c r="F145" t="s">
        <v>41</v>
      </c>
      <c r="G145">
        <v>61</v>
      </c>
      <c r="H145">
        <v>262.89</v>
      </c>
      <c r="I145">
        <v>16036.45</v>
      </c>
      <c r="J145" t="s">
        <v>15</v>
      </c>
      <c r="K145" t="s">
        <v>30</v>
      </c>
    </row>
    <row r="146" spans="1:11" hidden="1" x14ac:dyDescent="0.3">
      <c r="A146">
        <v>2145</v>
      </c>
      <c r="B146" t="s">
        <v>74</v>
      </c>
      <c r="C146" t="s">
        <v>26</v>
      </c>
      <c r="D146" t="s">
        <v>39</v>
      </c>
      <c r="E146" t="s">
        <v>20</v>
      </c>
      <c r="F146" t="s">
        <v>21</v>
      </c>
      <c r="G146">
        <v>80</v>
      </c>
      <c r="H146">
        <v>217.4</v>
      </c>
      <c r="I146">
        <v>17391.72</v>
      </c>
      <c r="J146" t="s">
        <v>15</v>
      </c>
      <c r="K146" t="s">
        <v>24</v>
      </c>
    </row>
    <row r="147" spans="1:11" hidden="1" x14ac:dyDescent="0.3">
      <c r="A147">
        <v>2146</v>
      </c>
      <c r="B147" t="s">
        <v>94</v>
      </c>
      <c r="C147" t="s">
        <v>26</v>
      </c>
      <c r="D147" t="s">
        <v>39</v>
      </c>
      <c r="E147" t="s">
        <v>43</v>
      </c>
      <c r="F147" t="s">
        <v>64</v>
      </c>
      <c r="G147">
        <v>11</v>
      </c>
      <c r="H147">
        <v>2.79</v>
      </c>
      <c r="I147">
        <v>30.65</v>
      </c>
      <c r="J147" t="s">
        <v>15</v>
      </c>
      <c r="K147" t="s">
        <v>22</v>
      </c>
    </row>
    <row r="148" spans="1:11" hidden="1" x14ac:dyDescent="0.3">
      <c r="A148">
        <v>2147</v>
      </c>
      <c r="B148" t="s">
        <v>42</v>
      </c>
      <c r="C148" t="s">
        <v>11</v>
      </c>
      <c r="D148" t="s">
        <v>35</v>
      </c>
      <c r="E148" t="s">
        <v>43</v>
      </c>
      <c r="F148" t="s">
        <v>47</v>
      </c>
      <c r="G148">
        <v>42</v>
      </c>
      <c r="H148">
        <v>4.09</v>
      </c>
      <c r="I148">
        <v>171.66</v>
      </c>
      <c r="J148" t="s">
        <v>29</v>
      </c>
      <c r="K148" t="s">
        <v>22</v>
      </c>
    </row>
    <row r="149" spans="1:11" hidden="1" x14ac:dyDescent="0.3">
      <c r="A149">
        <v>2148</v>
      </c>
      <c r="B149" t="s">
        <v>105</v>
      </c>
      <c r="C149" t="s">
        <v>11</v>
      </c>
      <c r="D149" t="s">
        <v>19</v>
      </c>
      <c r="E149" t="s">
        <v>43</v>
      </c>
      <c r="F149" t="s">
        <v>64</v>
      </c>
      <c r="G149">
        <v>28</v>
      </c>
      <c r="H149">
        <v>3.07</v>
      </c>
      <c r="I149">
        <v>85.93</v>
      </c>
      <c r="J149" t="s">
        <v>15</v>
      </c>
      <c r="K149" t="s">
        <v>24</v>
      </c>
    </row>
    <row r="150" spans="1:11" hidden="1" x14ac:dyDescent="0.3">
      <c r="A150">
        <v>2149</v>
      </c>
      <c r="B150" t="s">
        <v>122</v>
      </c>
      <c r="C150" t="s">
        <v>26</v>
      </c>
      <c r="D150" t="s">
        <v>35</v>
      </c>
      <c r="E150" t="s">
        <v>20</v>
      </c>
      <c r="F150" t="s">
        <v>41</v>
      </c>
      <c r="G150">
        <v>4</v>
      </c>
      <c r="H150">
        <v>237.63</v>
      </c>
      <c r="I150">
        <v>950.5</v>
      </c>
      <c r="J150" t="s">
        <v>15</v>
      </c>
      <c r="K150" t="s">
        <v>16</v>
      </c>
    </row>
    <row r="151" spans="1:11" hidden="1" x14ac:dyDescent="0.3">
      <c r="A151">
        <v>2150</v>
      </c>
      <c r="B151" t="s">
        <v>56</v>
      </c>
      <c r="C151" t="s">
        <v>18</v>
      </c>
      <c r="D151" t="s">
        <v>57</v>
      </c>
      <c r="E151" t="s">
        <v>13</v>
      </c>
      <c r="F151" t="s">
        <v>36</v>
      </c>
      <c r="G151">
        <v>46</v>
      </c>
      <c r="H151">
        <v>313.2</v>
      </c>
      <c r="I151">
        <v>14407.2</v>
      </c>
      <c r="J151" t="s">
        <v>15</v>
      </c>
      <c r="K151" t="s">
        <v>24</v>
      </c>
    </row>
    <row r="152" spans="1:11" hidden="1" x14ac:dyDescent="0.3">
      <c r="A152">
        <v>2151</v>
      </c>
      <c r="B152" t="s">
        <v>123</v>
      </c>
      <c r="C152" t="s">
        <v>11</v>
      </c>
      <c r="D152" t="s">
        <v>57</v>
      </c>
      <c r="E152" t="s">
        <v>20</v>
      </c>
      <c r="F152" t="s">
        <v>61</v>
      </c>
      <c r="G152">
        <v>73</v>
      </c>
      <c r="H152">
        <v>332.38</v>
      </c>
      <c r="I152">
        <v>24263.7</v>
      </c>
      <c r="J152" t="s">
        <v>15</v>
      </c>
      <c r="K152" t="s">
        <v>24</v>
      </c>
    </row>
    <row r="153" spans="1:11" hidden="1" x14ac:dyDescent="0.3">
      <c r="A153">
        <v>2152</v>
      </c>
      <c r="B153" t="s">
        <v>37</v>
      </c>
      <c r="C153" t="s">
        <v>26</v>
      </c>
      <c r="D153" t="s">
        <v>46</v>
      </c>
      <c r="E153" t="s">
        <v>20</v>
      </c>
      <c r="F153" t="s">
        <v>33</v>
      </c>
      <c r="G153">
        <v>16</v>
      </c>
      <c r="H153">
        <v>127.61</v>
      </c>
      <c r="I153">
        <v>2041.78</v>
      </c>
      <c r="J153" t="s">
        <v>29</v>
      </c>
      <c r="K153" t="s">
        <v>22</v>
      </c>
    </row>
    <row r="154" spans="1:11" hidden="1" x14ac:dyDescent="0.3">
      <c r="A154">
        <v>2153</v>
      </c>
      <c r="B154" t="s">
        <v>124</v>
      </c>
      <c r="C154" t="s">
        <v>18</v>
      </c>
      <c r="D154" t="s">
        <v>57</v>
      </c>
      <c r="E154" t="s">
        <v>43</v>
      </c>
      <c r="F154" t="s">
        <v>47</v>
      </c>
      <c r="G154">
        <v>49</v>
      </c>
      <c r="H154">
        <v>4.16</v>
      </c>
      <c r="I154">
        <v>203.81</v>
      </c>
      <c r="J154" t="s">
        <v>15</v>
      </c>
      <c r="K154" t="s">
        <v>30</v>
      </c>
    </row>
    <row r="155" spans="1:11" hidden="1" x14ac:dyDescent="0.3">
      <c r="A155">
        <v>2165</v>
      </c>
      <c r="B155" t="s">
        <v>120</v>
      </c>
      <c r="C155" t="s">
        <v>31</v>
      </c>
      <c r="D155" t="s">
        <v>32</v>
      </c>
      <c r="E155" t="s">
        <v>20</v>
      </c>
      <c r="F155" t="s">
        <v>61</v>
      </c>
      <c r="G155">
        <v>5</v>
      </c>
      <c r="H155">
        <v>329.35</v>
      </c>
      <c r="I155">
        <v>1646.77</v>
      </c>
      <c r="J155" t="s">
        <v>15</v>
      </c>
      <c r="K155" t="s">
        <v>16</v>
      </c>
    </row>
    <row r="156" spans="1:11" hidden="1" x14ac:dyDescent="0.3">
      <c r="A156">
        <v>2155</v>
      </c>
      <c r="B156" t="s">
        <v>63</v>
      </c>
      <c r="C156" t="s">
        <v>26</v>
      </c>
      <c r="D156" t="s">
        <v>12</v>
      </c>
      <c r="E156" t="s">
        <v>43</v>
      </c>
      <c r="F156" t="s">
        <v>47</v>
      </c>
      <c r="G156">
        <v>31</v>
      </c>
      <c r="H156">
        <v>3.74</v>
      </c>
      <c r="I156">
        <v>115.79</v>
      </c>
      <c r="J156" t="s">
        <v>15</v>
      </c>
      <c r="K156" t="s">
        <v>22</v>
      </c>
    </row>
    <row r="157" spans="1:11" hidden="1" x14ac:dyDescent="0.3">
      <c r="A157">
        <v>2156</v>
      </c>
      <c r="B157" t="s">
        <v>116</v>
      </c>
      <c r="C157" t="s">
        <v>18</v>
      </c>
      <c r="D157" t="s">
        <v>39</v>
      </c>
      <c r="E157" t="s">
        <v>20</v>
      </c>
      <c r="F157" t="s">
        <v>75</v>
      </c>
      <c r="G157">
        <v>31</v>
      </c>
      <c r="H157">
        <v>761.44</v>
      </c>
      <c r="I157">
        <v>23604.51</v>
      </c>
      <c r="J157" t="s">
        <v>15</v>
      </c>
      <c r="K157" t="s">
        <v>16</v>
      </c>
    </row>
    <row r="158" spans="1:11" hidden="1" x14ac:dyDescent="0.3">
      <c r="A158">
        <v>2157</v>
      </c>
      <c r="B158" t="s">
        <v>123</v>
      </c>
      <c r="C158" t="s">
        <v>11</v>
      </c>
      <c r="D158" t="s">
        <v>57</v>
      </c>
      <c r="E158" t="s">
        <v>43</v>
      </c>
      <c r="F158" t="s">
        <v>73</v>
      </c>
      <c r="G158">
        <v>22</v>
      </c>
      <c r="H158">
        <v>6.08</v>
      </c>
      <c r="I158">
        <v>133.66999999999999</v>
      </c>
      <c r="J158" t="s">
        <v>29</v>
      </c>
      <c r="K158" t="s">
        <v>16</v>
      </c>
    </row>
    <row r="159" spans="1:11" hidden="1" x14ac:dyDescent="0.3">
      <c r="A159">
        <v>2158</v>
      </c>
      <c r="B159" t="s">
        <v>106</v>
      </c>
      <c r="C159" t="s">
        <v>18</v>
      </c>
      <c r="D159" t="s">
        <v>27</v>
      </c>
      <c r="E159" t="s">
        <v>43</v>
      </c>
      <c r="F159" t="s">
        <v>44</v>
      </c>
      <c r="G159">
        <v>13</v>
      </c>
      <c r="H159">
        <v>8.15</v>
      </c>
      <c r="I159">
        <v>105.9</v>
      </c>
      <c r="J159" t="s">
        <v>15</v>
      </c>
      <c r="K159" t="s">
        <v>22</v>
      </c>
    </row>
    <row r="160" spans="1:11" hidden="1" x14ac:dyDescent="0.3">
      <c r="A160">
        <v>2159</v>
      </c>
      <c r="B160" t="s">
        <v>77</v>
      </c>
      <c r="C160" t="s">
        <v>11</v>
      </c>
      <c r="D160" t="s">
        <v>12</v>
      </c>
      <c r="E160" t="s">
        <v>43</v>
      </c>
      <c r="F160" t="s">
        <v>73</v>
      </c>
      <c r="G160">
        <v>46</v>
      </c>
      <c r="H160">
        <v>6.51</v>
      </c>
      <c r="I160">
        <v>299.27999999999997</v>
      </c>
      <c r="J160" t="s">
        <v>29</v>
      </c>
      <c r="K160" t="s">
        <v>30</v>
      </c>
    </row>
    <row r="161" spans="1:11" x14ac:dyDescent="0.3">
      <c r="A161">
        <v>2108</v>
      </c>
      <c r="B161" t="s">
        <v>91</v>
      </c>
      <c r="C161" t="s">
        <v>31</v>
      </c>
      <c r="D161" t="s">
        <v>39</v>
      </c>
      <c r="E161" t="s">
        <v>13</v>
      </c>
      <c r="F161" t="s">
        <v>86</v>
      </c>
      <c r="G161">
        <v>26</v>
      </c>
      <c r="H161">
        <v>63.22</v>
      </c>
      <c r="I161">
        <v>1643.82</v>
      </c>
      <c r="J161" t="s">
        <v>29</v>
      </c>
      <c r="K161" t="s">
        <v>24</v>
      </c>
    </row>
    <row r="162" spans="1:11" hidden="1" x14ac:dyDescent="0.3">
      <c r="A162">
        <v>2161</v>
      </c>
      <c r="B162" t="s">
        <v>125</v>
      </c>
      <c r="C162" t="s">
        <v>11</v>
      </c>
      <c r="D162" t="s">
        <v>12</v>
      </c>
      <c r="E162" t="s">
        <v>43</v>
      </c>
      <c r="F162" t="s">
        <v>64</v>
      </c>
      <c r="G162">
        <v>50</v>
      </c>
      <c r="H162">
        <v>3.18</v>
      </c>
      <c r="I162">
        <v>159.21</v>
      </c>
      <c r="J162" t="s">
        <v>15</v>
      </c>
      <c r="K162" t="s">
        <v>22</v>
      </c>
    </row>
    <row r="163" spans="1:11" hidden="1" x14ac:dyDescent="0.3">
      <c r="A163">
        <v>2162</v>
      </c>
      <c r="B163" t="s">
        <v>70</v>
      </c>
      <c r="C163" t="s">
        <v>18</v>
      </c>
      <c r="D163" t="s">
        <v>27</v>
      </c>
      <c r="E163" t="s">
        <v>43</v>
      </c>
      <c r="F163" t="s">
        <v>73</v>
      </c>
      <c r="G163">
        <v>46</v>
      </c>
      <c r="H163">
        <v>6.19</v>
      </c>
      <c r="I163">
        <v>284.91000000000003</v>
      </c>
      <c r="J163" t="s">
        <v>15</v>
      </c>
      <c r="K163" t="s">
        <v>16</v>
      </c>
    </row>
    <row r="164" spans="1:11" x14ac:dyDescent="0.3">
      <c r="A164">
        <v>2154</v>
      </c>
      <c r="B164" t="s">
        <v>101</v>
      </c>
      <c r="C164" t="s">
        <v>31</v>
      </c>
      <c r="D164" t="s">
        <v>19</v>
      </c>
      <c r="E164" t="s">
        <v>13</v>
      </c>
      <c r="F164" t="s">
        <v>51</v>
      </c>
      <c r="G164">
        <v>59</v>
      </c>
      <c r="H164">
        <v>27.2</v>
      </c>
      <c r="I164">
        <v>1605.07</v>
      </c>
      <c r="J164" t="s">
        <v>29</v>
      </c>
      <c r="K164" t="s">
        <v>30</v>
      </c>
    </row>
    <row r="165" spans="1:11" hidden="1" x14ac:dyDescent="0.3">
      <c r="A165">
        <v>2164</v>
      </c>
      <c r="B165" t="s">
        <v>17</v>
      </c>
      <c r="C165" t="s">
        <v>26</v>
      </c>
      <c r="D165" t="s">
        <v>32</v>
      </c>
      <c r="E165" t="s">
        <v>20</v>
      </c>
      <c r="F165" t="s">
        <v>33</v>
      </c>
      <c r="G165">
        <v>21</v>
      </c>
      <c r="H165">
        <v>116.49</v>
      </c>
      <c r="I165">
        <v>2446.35</v>
      </c>
      <c r="J165" t="s">
        <v>29</v>
      </c>
      <c r="K165" t="s">
        <v>16</v>
      </c>
    </row>
    <row r="166" spans="1:11" hidden="1" x14ac:dyDescent="0.3">
      <c r="A166">
        <v>2201</v>
      </c>
      <c r="B166" t="s">
        <v>130</v>
      </c>
      <c r="C166" t="s">
        <v>31</v>
      </c>
      <c r="D166" t="s">
        <v>12</v>
      </c>
      <c r="E166" t="s">
        <v>13</v>
      </c>
      <c r="F166" t="s">
        <v>28</v>
      </c>
      <c r="G166">
        <v>71</v>
      </c>
      <c r="H166">
        <v>19.600000000000001</v>
      </c>
      <c r="I166">
        <v>1391.56</v>
      </c>
      <c r="J166" t="s">
        <v>15</v>
      </c>
      <c r="K166" t="s">
        <v>30</v>
      </c>
    </row>
    <row r="167" spans="1:11" x14ac:dyDescent="0.3">
      <c r="A167">
        <v>2243</v>
      </c>
      <c r="B167" t="s">
        <v>133</v>
      </c>
      <c r="C167" t="s">
        <v>31</v>
      </c>
      <c r="D167" t="s">
        <v>46</v>
      </c>
      <c r="E167" t="s">
        <v>13</v>
      </c>
      <c r="F167" t="s">
        <v>86</v>
      </c>
      <c r="G167">
        <v>23</v>
      </c>
      <c r="H167">
        <v>60.07</v>
      </c>
      <c r="I167">
        <v>1381.54</v>
      </c>
      <c r="J167" t="s">
        <v>29</v>
      </c>
      <c r="K167" t="s">
        <v>30</v>
      </c>
    </row>
    <row r="168" spans="1:11" hidden="1" x14ac:dyDescent="0.3">
      <c r="A168">
        <v>2167</v>
      </c>
      <c r="B168" t="s">
        <v>84</v>
      </c>
      <c r="C168" t="s">
        <v>11</v>
      </c>
      <c r="D168" t="s">
        <v>39</v>
      </c>
      <c r="E168" t="s">
        <v>43</v>
      </c>
      <c r="F168" t="s">
        <v>73</v>
      </c>
      <c r="G168">
        <v>50</v>
      </c>
      <c r="H168">
        <v>6.43</v>
      </c>
      <c r="I168">
        <v>321.41000000000003</v>
      </c>
      <c r="J168" t="s">
        <v>15</v>
      </c>
      <c r="K168" t="s">
        <v>16</v>
      </c>
    </row>
    <row r="169" spans="1:11" x14ac:dyDescent="0.3">
      <c r="A169">
        <v>2141</v>
      </c>
      <c r="B169" t="s">
        <v>88</v>
      </c>
      <c r="C169" t="s">
        <v>31</v>
      </c>
      <c r="D169" t="s">
        <v>39</v>
      </c>
      <c r="E169" t="s">
        <v>13</v>
      </c>
      <c r="F169" t="s">
        <v>28</v>
      </c>
      <c r="G169">
        <v>59</v>
      </c>
      <c r="H169">
        <v>20.62</v>
      </c>
      <c r="I169">
        <v>1216.45</v>
      </c>
      <c r="J169" t="s">
        <v>29</v>
      </c>
      <c r="K169" t="s">
        <v>30</v>
      </c>
    </row>
    <row r="170" spans="1:11" hidden="1" x14ac:dyDescent="0.3">
      <c r="A170">
        <v>2169</v>
      </c>
      <c r="B170" t="s">
        <v>72</v>
      </c>
      <c r="C170" t="s">
        <v>11</v>
      </c>
      <c r="D170" t="s">
        <v>27</v>
      </c>
      <c r="E170" t="s">
        <v>20</v>
      </c>
      <c r="F170" t="s">
        <v>33</v>
      </c>
      <c r="G170">
        <v>53</v>
      </c>
      <c r="H170">
        <v>123.84</v>
      </c>
      <c r="I170">
        <v>6563.26</v>
      </c>
      <c r="J170" t="s">
        <v>15</v>
      </c>
      <c r="K170" t="s">
        <v>22</v>
      </c>
    </row>
    <row r="171" spans="1:11" hidden="1" x14ac:dyDescent="0.3">
      <c r="A171">
        <v>2170</v>
      </c>
      <c r="B171" t="s">
        <v>10</v>
      </c>
      <c r="C171" t="s">
        <v>18</v>
      </c>
      <c r="D171" t="s">
        <v>32</v>
      </c>
      <c r="E171" t="s">
        <v>43</v>
      </c>
      <c r="F171" t="s">
        <v>49</v>
      </c>
      <c r="G171">
        <v>14</v>
      </c>
      <c r="H171">
        <v>1.55</v>
      </c>
      <c r="I171">
        <v>21.71</v>
      </c>
      <c r="J171" t="s">
        <v>29</v>
      </c>
      <c r="K171" t="s">
        <v>22</v>
      </c>
    </row>
    <row r="172" spans="1:11" hidden="1" x14ac:dyDescent="0.3">
      <c r="A172">
        <v>2171</v>
      </c>
      <c r="B172" t="s">
        <v>76</v>
      </c>
      <c r="C172" t="s">
        <v>18</v>
      </c>
      <c r="D172" t="s">
        <v>46</v>
      </c>
      <c r="E172" t="s">
        <v>20</v>
      </c>
      <c r="F172" t="s">
        <v>41</v>
      </c>
      <c r="G172">
        <v>52</v>
      </c>
      <c r="H172">
        <v>257.10000000000002</v>
      </c>
      <c r="I172">
        <v>13369.44</v>
      </c>
      <c r="J172" t="s">
        <v>15</v>
      </c>
      <c r="K172" t="s">
        <v>30</v>
      </c>
    </row>
    <row r="173" spans="1:11" x14ac:dyDescent="0.3">
      <c r="A173">
        <v>2160</v>
      </c>
      <c r="B173" t="s">
        <v>59</v>
      </c>
      <c r="C173" t="s">
        <v>31</v>
      </c>
      <c r="D173" t="s">
        <v>39</v>
      </c>
      <c r="E173" t="s">
        <v>13</v>
      </c>
      <c r="F173" t="s">
        <v>51</v>
      </c>
      <c r="G173">
        <v>48</v>
      </c>
      <c r="H173">
        <v>24.4</v>
      </c>
      <c r="I173">
        <v>1171.1099999999999</v>
      </c>
      <c r="J173" t="s">
        <v>29</v>
      </c>
      <c r="K173" t="s">
        <v>30</v>
      </c>
    </row>
    <row r="174" spans="1:11" hidden="1" x14ac:dyDescent="0.3">
      <c r="A174">
        <v>2173</v>
      </c>
      <c r="B174" t="s">
        <v>127</v>
      </c>
      <c r="C174" t="s">
        <v>26</v>
      </c>
      <c r="D174" t="s">
        <v>57</v>
      </c>
      <c r="E174" t="s">
        <v>20</v>
      </c>
      <c r="F174" t="s">
        <v>61</v>
      </c>
      <c r="G174">
        <v>1</v>
      </c>
      <c r="H174">
        <v>367.9</v>
      </c>
      <c r="I174">
        <v>367.9</v>
      </c>
      <c r="J174" t="s">
        <v>15</v>
      </c>
      <c r="K174" t="s">
        <v>24</v>
      </c>
    </row>
    <row r="175" spans="1:11" hidden="1" x14ac:dyDescent="0.3">
      <c r="A175">
        <v>2174</v>
      </c>
      <c r="B175" t="s">
        <v>83</v>
      </c>
      <c r="C175" t="s">
        <v>18</v>
      </c>
      <c r="D175" t="s">
        <v>19</v>
      </c>
      <c r="E175" t="s">
        <v>20</v>
      </c>
      <c r="F175" t="s">
        <v>41</v>
      </c>
      <c r="G175">
        <v>3</v>
      </c>
      <c r="H175">
        <v>257.61</v>
      </c>
      <c r="I175">
        <v>772.84</v>
      </c>
      <c r="J175" t="s">
        <v>15</v>
      </c>
      <c r="K175" t="s">
        <v>30</v>
      </c>
    </row>
    <row r="176" spans="1:11" hidden="1" x14ac:dyDescent="0.3">
      <c r="A176">
        <v>2175</v>
      </c>
      <c r="B176" t="s">
        <v>17</v>
      </c>
      <c r="C176" t="s">
        <v>18</v>
      </c>
      <c r="D176" t="s">
        <v>35</v>
      </c>
      <c r="E176" t="s">
        <v>20</v>
      </c>
      <c r="F176" t="s">
        <v>41</v>
      </c>
      <c r="G176">
        <v>70</v>
      </c>
      <c r="H176">
        <v>237.11</v>
      </c>
      <c r="I176">
        <v>16598.04</v>
      </c>
      <c r="J176" t="s">
        <v>15</v>
      </c>
      <c r="K176" t="s">
        <v>22</v>
      </c>
    </row>
    <row r="177" spans="1:11" hidden="1" x14ac:dyDescent="0.3">
      <c r="A177">
        <v>2176</v>
      </c>
      <c r="B177" t="s">
        <v>23</v>
      </c>
      <c r="C177" t="s">
        <v>11</v>
      </c>
      <c r="D177" t="s">
        <v>32</v>
      </c>
      <c r="E177" t="s">
        <v>13</v>
      </c>
      <c r="F177" t="s">
        <v>28</v>
      </c>
      <c r="G177">
        <v>13</v>
      </c>
      <c r="H177">
        <v>21.4</v>
      </c>
      <c r="I177">
        <v>278.24</v>
      </c>
      <c r="J177" t="s">
        <v>15</v>
      </c>
      <c r="K177" t="s">
        <v>24</v>
      </c>
    </row>
    <row r="178" spans="1:11" hidden="1" x14ac:dyDescent="0.3">
      <c r="A178">
        <v>2177</v>
      </c>
      <c r="B178" t="s">
        <v>76</v>
      </c>
      <c r="C178" t="s">
        <v>11</v>
      </c>
      <c r="D178" t="s">
        <v>19</v>
      </c>
      <c r="E178" t="s">
        <v>43</v>
      </c>
      <c r="F178" t="s">
        <v>64</v>
      </c>
      <c r="G178">
        <v>32</v>
      </c>
      <c r="H178">
        <v>3.13</v>
      </c>
      <c r="I178">
        <v>100.03</v>
      </c>
      <c r="J178" t="s">
        <v>29</v>
      </c>
      <c r="K178" t="s">
        <v>22</v>
      </c>
    </row>
    <row r="179" spans="1:11" hidden="1" x14ac:dyDescent="0.3">
      <c r="A179">
        <v>2178</v>
      </c>
      <c r="B179" t="s">
        <v>128</v>
      </c>
      <c r="C179" t="s">
        <v>11</v>
      </c>
      <c r="D179" t="s">
        <v>57</v>
      </c>
      <c r="E179" t="s">
        <v>13</v>
      </c>
      <c r="F179" t="s">
        <v>81</v>
      </c>
      <c r="G179">
        <v>74</v>
      </c>
      <c r="H179">
        <v>186.54</v>
      </c>
      <c r="I179">
        <v>13804.27</v>
      </c>
      <c r="J179" t="s">
        <v>29</v>
      </c>
      <c r="K179" t="s">
        <v>30</v>
      </c>
    </row>
    <row r="180" spans="1:11" hidden="1" x14ac:dyDescent="0.3">
      <c r="A180">
        <v>2179</v>
      </c>
      <c r="B180" t="s">
        <v>113</v>
      </c>
      <c r="C180" t="s">
        <v>11</v>
      </c>
      <c r="D180" t="s">
        <v>46</v>
      </c>
      <c r="E180" t="s">
        <v>43</v>
      </c>
      <c r="F180" t="s">
        <v>64</v>
      </c>
      <c r="G180">
        <v>73</v>
      </c>
      <c r="H180">
        <v>2.71</v>
      </c>
      <c r="I180">
        <v>197.81</v>
      </c>
      <c r="J180" t="s">
        <v>29</v>
      </c>
      <c r="K180" t="s">
        <v>22</v>
      </c>
    </row>
    <row r="181" spans="1:11" x14ac:dyDescent="0.3">
      <c r="A181">
        <v>2143</v>
      </c>
      <c r="B181" t="s">
        <v>121</v>
      </c>
      <c r="C181" t="s">
        <v>31</v>
      </c>
      <c r="D181" t="s">
        <v>39</v>
      </c>
      <c r="E181" t="s">
        <v>13</v>
      </c>
      <c r="F181" t="s">
        <v>86</v>
      </c>
      <c r="G181">
        <v>18</v>
      </c>
      <c r="H181">
        <v>58.05</v>
      </c>
      <c r="I181">
        <v>1044.9000000000001</v>
      </c>
      <c r="J181" t="s">
        <v>29</v>
      </c>
      <c r="K181" t="s">
        <v>30</v>
      </c>
    </row>
    <row r="182" spans="1:11" hidden="1" x14ac:dyDescent="0.3">
      <c r="A182">
        <v>2181</v>
      </c>
      <c r="B182" t="s">
        <v>129</v>
      </c>
      <c r="C182" t="s">
        <v>18</v>
      </c>
      <c r="D182" t="s">
        <v>46</v>
      </c>
      <c r="E182" t="s">
        <v>43</v>
      </c>
      <c r="F182" t="s">
        <v>64</v>
      </c>
      <c r="G182">
        <v>54</v>
      </c>
      <c r="H182">
        <v>3.04</v>
      </c>
      <c r="I182">
        <v>164.28</v>
      </c>
      <c r="J182" t="s">
        <v>29</v>
      </c>
      <c r="K182" t="s">
        <v>30</v>
      </c>
    </row>
    <row r="183" spans="1:11" hidden="1" x14ac:dyDescent="0.3">
      <c r="A183">
        <v>2182</v>
      </c>
      <c r="B183" t="s">
        <v>37</v>
      </c>
      <c r="C183" t="s">
        <v>26</v>
      </c>
      <c r="D183" t="s">
        <v>27</v>
      </c>
      <c r="E183" t="s">
        <v>20</v>
      </c>
      <c r="F183" t="s">
        <v>21</v>
      </c>
      <c r="G183">
        <v>54</v>
      </c>
      <c r="H183">
        <v>213.89</v>
      </c>
      <c r="I183">
        <v>11549.92</v>
      </c>
      <c r="J183" t="s">
        <v>29</v>
      </c>
      <c r="K183" t="s">
        <v>22</v>
      </c>
    </row>
    <row r="184" spans="1:11" hidden="1" x14ac:dyDescent="0.3">
      <c r="A184">
        <v>2183</v>
      </c>
      <c r="B184" t="s">
        <v>25</v>
      </c>
      <c r="C184" t="s">
        <v>26</v>
      </c>
      <c r="D184" t="s">
        <v>57</v>
      </c>
      <c r="E184" t="s">
        <v>13</v>
      </c>
      <c r="F184" t="s">
        <v>14</v>
      </c>
      <c r="G184">
        <v>49</v>
      </c>
      <c r="H184">
        <v>75.900000000000006</v>
      </c>
      <c r="I184">
        <v>3718.99</v>
      </c>
      <c r="J184" t="s">
        <v>29</v>
      </c>
      <c r="K184" t="s">
        <v>22</v>
      </c>
    </row>
    <row r="185" spans="1:11" hidden="1" x14ac:dyDescent="0.3">
      <c r="A185">
        <v>2184</v>
      </c>
      <c r="B185" t="s">
        <v>58</v>
      </c>
      <c r="C185" t="s">
        <v>11</v>
      </c>
      <c r="D185" t="s">
        <v>27</v>
      </c>
      <c r="E185" t="s">
        <v>13</v>
      </c>
      <c r="F185" t="s">
        <v>14</v>
      </c>
      <c r="G185">
        <v>20</v>
      </c>
      <c r="H185">
        <v>69.89</v>
      </c>
      <c r="I185">
        <v>1397.86</v>
      </c>
      <c r="J185" t="s">
        <v>29</v>
      </c>
      <c r="K185" t="s">
        <v>16</v>
      </c>
    </row>
    <row r="186" spans="1:11" hidden="1" x14ac:dyDescent="0.3">
      <c r="A186">
        <v>2185</v>
      </c>
      <c r="B186" t="s">
        <v>122</v>
      </c>
      <c r="C186" t="s">
        <v>26</v>
      </c>
      <c r="D186" t="s">
        <v>19</v>
      </c>
      <c r="E186" t="s">
        <v>13</v>
      </c>
      <c r="F186" t="s">
        <v>67</v>
      </c>
      <c r="G186">
        <v>44</v>
      </c>
      <c r="H186">
        <v>873.88</v>
      </c>
      <c r="I186">
        <v>38450.699999999997</v>
      </c>
      <c r="J186" t="s">
        <v>29</v>
      </c>
      <c r="K186" t="s">
        <v>16</v>
      </c>
    </row>
    <row r="187" spans="1:11" hidden="1" x14ac:dyDescent="0.3">
      <c r="A187">
        <v>2186</v>
      </c>
      <c r="B187" t="s">
        <v>40</v>
      </c>
      <c r="C187" t="s">
        <v>18</v>
      </c>
      <c r="D187" t="s">
        <v>57</v>
      </c>
      <c r="E187" t="s">
        <v>43</v>
      </c>
      <c r="F187" t="s">
        <v>64</v>
      </c>
      <c r="G187">
        <v>72</v>
      </c>
      <c r="H187">
        <v>2.85</v>
      </c>
      <c r="I187">
        <v>205.01</v>
      </c>
      <c r="J187" t="s">
        <v>29</v>
      </c>
      <c r="K187" t="s">
        <v>22</v>
      </c>
    </row>
    <row r="188" spans="1:11" hidden="1" x14ac:dyDescent="0.3">
      <c r="A188">
        <v>2187</v>
      </c>
      <c r="B188" t="s">
        <v>128</v>
      </c>
      <c r="C188" t="s">
        <v>18</v>
      </c>
      <c r="D188" t="s">
        <v>46</v>
      </c>
      <c r="E188" t="s">
        <v>13</v>
      </c>
      <c r="F188" t="s">
        <v>51</v>
      </c>
      <c r="G188">
        <v>28</v>
      </c>
      <c r="H188">
        <v>23.76</v>
      </c>
      <c r="I188">
        <v>665.38</v>
      </c>
      <c r="J188" t="s">
        <v>15</v>
      </c>
      <c r="K188" t="s">
        <v>16</v>
      </c>
    </row>
    <row r="189" spans="1:11" x14ac:dyDescent="0.3">
      <c r="A189">
        <v>2093</v>
      </c>
      <c r="B189" t="s">
        <v>103</v>
      </c>
      <c r="C189" t="s">
        <v>31</v>
      </c>
      <c r="D189" t="s">
        <v>32</v>
      </c>
      <c r="E189" t="s">
        <v>13</v>
      </c>
      <c r="F189" t="s">
        <v>51</v>
      </c>
      <c r="G189">
        <v>43</v>
      </c>
      <c r="H189">
        <v>22.72</v>
      </c>
      <c r="I189">
        <v>977.16</v>
      </c>
      <c r="J189" t="s">
        <v>29</v>
      </c>
      <c r="K189" t="s">
        <v>16</v>
      </c>
    </row>
    <row r="190" spans="1:11" hidden="1" x14ac:dyDescent="0.3">
      <c r="A190">
        <v>2189</v>
      </c>
      <c r="B190" t="s">
        <v>121</v>
      </c>
      <c r="C190" t="s">
        <v>11</v>
      </c>
      <c r="D190" t="s">
        <v>57</v>
      </c>
      <c r="E190" t="s">
        <v>13</v>
      </c>
      <c r="F190" t="s">
        <v>67</v>
      </c>
      <c r="G190">
        <v>4</v>
      </c>
      <c r="H190">
        <v>906.8</v>
      </c>
      <c r="I190">
        <v>3627.21</v>
      </c>
      <c r="J190" t="s">
        <v>29</v>
      </c>
      <c r="K190" t="s">
        <v>30</v>
      </c>
    </row>
    <row r="191" spans="1:11" hidden="1" x14ac:dyDescent="0.3">
      <c r="A191">
        <v>2190</v>
      </c>
      <c r="B191" t="s">
        <v>97</v>
      </c>
      <c r="C191" t="s">
        <v>26</v>
      </c>
      <c r="D191" t="s">
        <v>46</v>
      </c>
      <c r="E191" t="s">
        <v>43</v>
      </c>
      <c r="F191" t="s">
        <v>49</v>
      </c>
      <c r="G191">
        <v>62</v>
      </c>
      <c r="H191">
        <v>1.57</v>
      </c>
      <c r="I191">
        <v>97.15</v>
      </c>
      <c r="J191" t="s">
        <v>15</v>
      </c>
      <c r="K191" t="s">
        <v>22</v>
      </c>
    </row>
    <row r="192" spans="1:11" hidden="1" x14ac:dyDescent="0.3">
      <c r="A192">
        <v>2191</v>
      </c>
      <c r="B192" t="s">
        <v>115</v>
      </c>
      <c r="C192" t="s">
        <v>11</v>
      </c>
      <c r="D192" t="s">
        <v>39</v>
      </c>
      <c r="E192" t="s">
        <v>13</v>
      </c>
      <c r="F192" t="s">
        <v>81</v>
      </c>
      <c r="G192">
        <v>73</v>
      </c>
      <c r="H192">
        <v>169.9</v>
      </c>
      <c r="I192">
        <v>12402.52</v>
      </c>
      <c r="J192" t="s">
        <v>15</v>
      </c>
      <c r="K192" t="s">
        <v>16</v>
      </c>
    </row>
    <row r="193" spans="1:11" x14ac:dyDescent="0.3">
      <c r="A193">
        <v>2224</v>
      </c>
      <c r="B193" t="s">
        <v>77</v>
      </c>
      <c r="C193" t="s">
        <v>31</v>
      </c>
      <c r="D193" t="s">
        <v>39</v>
      </c>
      <c r="E193" t="s">
        <v>20</v>
      </c>
      <c r="F193" t="s">
        <v>75</v>
      </c>
      <c r="G193">
        <v>1</v>
      </c>
      <c r="H193">
        <v>869.36</v>
      </c>
      <c r="I193">
        <v>869.36</v>
      </c>
      <c r="J193" t="s">
        <v>29</v>
      </c>
      <c r="K193" t="s">
        <v>22</v>
      </c>
    </row>
    <row r="194" spans="1:11" hidden="1" x14ac:dyDescent="0.3">
      <c r="A194">
        <v>2019</v>
      </c>
      <c r="B194" t="s">
        <v>56</v>
      </c>
      <c r="C194" t="s">
        <v>31</v>
      </c>
      <c r="D194" t="s">
        <v>57</v>
      </c>
      <c r="E194" t="s">
        <v>43</v>
      </c>
      <c r="F194" t="s">
        <v>44</v>
      </c>
      <c r="G194">
        <v>78</v>
      </c>
      <c r="H194">
        <v>8.36</v>
      </c>
      <c r="I194">
        <v>651.77</v>
      </c>
      <c r="J194" t="s">
        <v>15</v>
      </c>
      <c r="K194" t="s">
        <v>30</v>
      </c>
    </row>
    <row r="195" spans="1:11" x14ac:dyDescent="0.3">
      <c r="A195">
        <v>2239</v>
      </c>
      <c r="B195" t="s">
        <v>62</v>
      </c>
      <c r="C195" t="s">
        <v>31</v>
      </c>
      <c r="D195" t="s">
        <v>35</v>
      </c>
      <c r="E195" t="s">
        <v>43</v>
      </c>
      <c r="F195" t="s">
        <v>73</v>
      </c>
      <c r="G195">
        <v>79</v>
      </c>
      <c r="H195">
        <v>5.95</v>
      </c>
      <c r="I195">
        <v>470.22</v>
      </c>
      <c r="J195" t="s">
        <v>29</v>
      </c>
      <c r="K195" t="s">
        <v>24</v>
      </c>
    </row>
    <row r="196" spans="1:11" hidden="1" x14ac:dyDescent="0.3">
      <c r="A196">
        <v>2195</v>
      </c>
      <c r="B196" t="s">
        <v>90</v>
      </c>
      <c r="C196" t="s">
        <v>11</v>
      </c>
      <c r="D196" t="s">
        <v>32</v>
      </c>
      <c r="E196" t="s">
        <v>43</v>
      </c>
      <c r="F196" t="s">
        <v>73</v>
      </c>
      <c r="G196">
        <v>13</v>
      </c>
      <c r="H196">
        <v>6.17</v>
      </c>
      <c r="I196">
        <v>80.239999999999995</v>
      </c>
      <c r="J196" t="s">
        <v>29</v>
      </c>
      <c r="K196" t="s">
        <v>24</v>
      </c>
    </row>
    <row r="197" spans="1:11" hidden="1" x14ac:dyDescent="0.3">
      <c r="A197">
        <v>2196</v>
      </c>
      <c r="B197" t="s">
        <v>60</v>
      </c>
      <c r="C197" t="s">
        <v>18</v>
      </c>
      <c r="D197" t="s">
        <v>39</v>
      </c>
      <c r="E197" t="s">
        <v>20</v>
      </c>
      <c r="F197" t="s">
        <v>21</v>
      </c>
      <c r="G197">
        <v>79</v>
      </c>
      <c r="H197">
        <v>202.36</v>
      </c>
      <c r="I197">
        <v>15986.37</v>
      </c>
      <c r="J197" t="s">
        <v>15</v>
      </c>
      <c r="K197" t="s">
        <v>16</v>
      </c>
    </row>
    <row r="198" spans="1:11" hidden="1" x14ac:dyDescent="0.3">
      <c r="A198">
        <v>2197</v>
      </c>
      <c r="B198" t="s">
        <v>89</v>
      </c>
      <c r="C198" t="s">
        <v>18</v>
      </c>
      <c r="D198" t="s">
        <v>35</v>
      </c>
      <c r="E198" t="s">
        <v>20</v>
      </c>
      <c r="F198" t="s">
        <v>33</v>
      </c>
      <c r="G198">
        <v>9</v>
      </c>
      <c r="H198">
        <v>113.26</v>
      </c>
      <c r="I198">
        <v>1019.37</v>
      </c>
      <c r="J198" t="s">
        <v>15</v>
      </c>
      <c r="K198" t="s">
        <v>16</v>
      </c>
    </row>
    <row r="199" spans="1:11" hidden="1" x14ac:dyDescent="0.3">
      <c r="A199">
        <v>2192</v>
      </c>
      <c r="B199" t="s">
        <v>91</v>
      </c>
      <c r="C199" t="s">
        <v>31</v>
      </c>
      <c r="D199" t="s">
        <v>46</v>
      </c>
      <c r="E199" t="s">
        <v>43</v>
      </c>
      <c r="F199" t="s">
        <v>73</v>
      </c>
      <c r="G199">
        <v>75</v>
      </c>
      <c r="H199">
        <v>5.78</v>
      </c>
      <c r="I199">
        <v>433.61</v>
      </c>
      <c r="J199" t="s">
        <v>15</v>
      </c>
      <c r="K199" t="s">
        <v>30</v>
      </c>
    </row>
    <row r="200" spans="1:11" hidden="1" x14ac:dyDescent="0.3">
      <c r="A200">
        <v>2199</v>
      </c>
      <c r="B200" t="s">
        <v>89</v>
      </c>
      <c r="C200" t="s">
        <v>26</v>
      </c>
      <c r="D200" t="s">
        <v>32</v>
      </c>
      <c r="E200" t="s">
        <v>13</v>
      </c>
      <c r="F200" t="s">
        <v>51</v>
      </c>
      <c r="G200">
        <v>73</v>
      </c>
      <c r="H200">
        <v>22.5</v>
      </c>
      <c r="I200">
        <v>1642.85</v>
      </c>
      <c r="J200" t="s">
        <v>15</v>
      </c>
      <c r="K200" t="s">
        <v>16</v>
      </c>
    </row>
    <row r="201" spans="1:11" hidden="1" x14ac:dyDescent="0.3">
      <c r="A201">
        <v>2200</v>
      </c>
      <c r="B201" t="s">
        <v>59</v>
      </c>
      <c r="C201" t="s">
        <v>11</v>
      </c>
      <c r="D201" t="s">
        <v>27</v>
      </c>
      <c r="E201" t="s">
        <v>13</v>
      </c>
      <c r="F201" t="s">
        <v>86</v>
      </c>
      <c r="G201">
        <v>3</v>
      </c>
      <c r="H201">
        <v>55.25</v>
      </c>
      <c r="I201">
        <v>165.75</v>
      </c>
      <c r="J201" t="s">
        <v>29</v>
      </c>
      <c r="K201" t="s">
        <v>16</v>
      </c>
    </row>
    <row r="202" spans="1:11" x14ac:dyDescent="0.3">
      <c r="A202">
        <v>2163</v>
      </c>
      <c r="B202" t="s">
        <v>126</v>
      </c>
      <c r="C202" t="s">
        <v>31</v>
      </c>
      <c r="D202" t="s">
        <v>19</v>
      </c>
      <c r="E202" t="s">
        <v>43</v>
      </c>
      <c r="F202" t="s">
        <v>73</v>
      </c>
      <c r="G202">
        <v>71</v>
      </c>
      <c r="H202">
        <v>5.77</v>
      </c>
      <c r="I202">
        <v>410.01</v>
      </c>
      <c r="J202" t="s">
        <v>29</v>
      </c>
      <c r="K202" t="s">
        <v>22</v>
      </c>
    </row>
    <row r="203" spans="1:11" hidden="1" x14ac:dyDescent="0.3">
      <c r="A203">
        <v>2202</v>
      </c>
      <c r="B203" t="s">
        <v>121</v>
      </c>
      <c r="C203" t="s">
        <v>26</v>
      </c>
      <c r="D203" t="s">
        <v>12</v>
      </c>
      <c r="E203" t="s">
        <v>13</v>
      </c>
      <c r="F203" t="s">
        <v>51</v>
      </c>
      <c r="G203">
        <v>18</v>
      </c>
      <c r="H203">
        <v>24.03</v>
      </c>
      <c r="I203">
        <v>432.49</v>
      </c>
      <c r="J203" t="s">
        <v>15</v>
      </c>
      <c r="K203" t="s">
        <v>22</v>
      </c>
    </row>
    <row r="204" spans="1:11" x14ac:dyDescent="0.3">
      <c r="A204">
        <v>2216</v>
      </c>
      <c r="B204" t="s">
        <v>131</v>
      </c>
      <c r="C204" t="s">
        <v>31</v>
      </c>
      <c r="D204" t="s">
        <v>46</v>
      </c>
      <c r="E204" t="s">
        <v>13</v>
      </c>
      <c r="F204" t="s">
        <v>86</v>
      </c>
      <c r="G204">
        <v>6</v>
      </c>
      <c r="H204">
        <v>58.11</v>
      </c>
      <c r="I204">
        <v>348.65</v>
      </c>
      <c r="J204" t="s">
        <v>29</v>
      </c>
      <c r="K204" t="s">
        <v>16</v>
      </c>
    </row>
    <row r="205" spans="1:11" hidden="1" x14ac:dyDescent="0.3">
      <c r="A205">
        <v>2204</v>
      </c>
      <c r="B205" t="s">
        <v>74</v>
      </c>
      <c r="C205" t="s">
        <v>11</v>
      </c>
      <c r="D205" t="s">
        <v>32</v>
      </c>
      <c r="E205" t="s">
        <v>43</v>
      </c>
      <c r="F205" t="s">
        <v>64</v>
      </c>
      <c r="G205">
        <v>52</v>
      </c>
      <c r="H205">
        <v>2.94</v>
      </c>
      <c r="I205">
        <v>152.9</v>
      </c>
      <c r="J205" t="s">
        <v>29</v>
      </c>
      <c r="K205" t="s">
        <v>16</v>
      </c>
    </row>
    <row r="206" spans="1:11" x14ac:dyDescent="0.3">
      <c r="A206">
        <v>2040</v>
      </c>
      <c r="B206" t="s">
        <v>65</v>
      </c>
      <c r="C206" t="s">
        <v>31</v>
      </c>
      <c r="D206" t="s">
        <v>35</v>
      </c>
      <c r="E206" t="s">
        <v>13</v>
      </c>
      <c r="F206" t="s">
        <v>28</v>
      </c>
      <c r="G206">
        <v>17</v>
      </c>
      <c r="H206">
        <v>18.350000000000001</v>
      </c>
      <c r="I206">
        <v>311.97000000000003</v>
      </c>
      <c r="J206" t="s">
        <v>29</v>
      </c>
      <c r="K206" t="s">
        <v>16</v>
      </c>
    </row>
    <row r="207" spans="1:11" hidden="1" x14ac:dyDescent="0.3">
      <c r="A207">
        <v>2206</v>
      </c>
      <c r="B207" t="s">
        <v>25</v>
      </c>
      <c r="C207" t="s">
        <v>11</v>
      </c>
      <c r="D207" t="s">
        <v>12</v>
      </c>
      <c r="E207" t="s">
        <v>43</v>
      </c>
      <c r="F207" t="s">
        <v>44</v>
      </c>
      <c r="G207">
        <v>75</v>
      </c>
      <c r="H207">
        <v>8.51</v>
      </c>
      <c r="I207">
        <v>638.08000000000004</v>
      </c>
      <c r="J207" t="s">
        <v>15</v>
      </c>
      <c r="K207" t="s">
        <v>16</v>
      </c>
    </row>
    <row r="208" spans="1:11" hidden="1" x14ac:dyDescent="0.3">
      <c r="A208">
        <v>2207</v>
      </c>
      <c r="B208" t="s">
        <v>131</v>
      </c>
      <c r="C208" t="s">
        <v>26</v>
      </c>
      <c r="D208" t="s">
        <v>35</v>
      </c>
      <c r="E208" t="s">
        <v>20</v>
      </c>
      <c r="F208" t="s">
        <v>75</v>
      </c>
      <c r="G208">
        <v>18</v>
      </c>
      <c r="H208">
        <v>738.51</v>
      </c>
      <c r="I208">
        <v>13293.18</v>
      </c>
      <c r="J208" t="s">
        <v>29</v>
      </c>
      <c r="K208" t="s">
        <v>16</v>
      </c>
    </row>
    <row r="209" spans="1:11" hidden="1" x14ac:dyDescent="0.3">
      <c r="A209">
        <v>2208</v>
      </c>
      <c r="B209" t="s">
        <v>98</v>
      </c>
      <c r="C209" t="s">
        <v>18</v>
      </c>
      <c r="D209" t="s">
        <v>12</v>
      </c>
      <c r="E209" t="s">
        <v>20</v>
      </c>
      <c r="F209" t="s">
        <v>75</v>
      </c>
      <c r="G209">
        <v>62</v>
      </c>
      <c r="H209">
        <v>722.55</v>
      </c>
      <c r="I209">
        <v>44797.88</v>
      </c>
      <c r="J209" t="s">
        <v>29</v>
      </c>
      <c r="K209" t="s">
        <v>24</v>
      </c>
    </row>
    <row r="210" spans="1:11" hidden="1" x14ac:dyDescent="0.3">
      <c r="A210">
        <v>2231</v>
      </c>
      <c r="B210" t="s">
        <v>66</v>
      </c>
      <c r="C210" t="s">
        <v>31</v>
      </c>
      <c r="D210" t="s">
        <v>46</v>
      </c>
      <c r="E210" t="s">
        <v>43</v>
      </c>
      <c r="F210" t="s">
        <v>73</v>
      </c>
      <c r="G210">
        <v>53</v>
      </c>
      <c r="H210">
        <v>5.51</v>
      </c>
      <c r="I210">
        <v>291.83</v>
      </c>
      <c r="J210" t="s">
        <v>15</v>
      </c>
      <c r="K210" t="s">
        <v>30</v>
      </c>
    </row>
    <row r="211" spans="1:11" hidden="1" x14ac:dyDescent="0.3">
      <c r="A211">
        <v>2210</v>
      </c>
      <c r="B211" t="s">
        <v>117</v>
      </c>
      <c r="C211" t="s">
        <v>18</v>
      </c>
      <c r="D211" t="s">
        <v>32</v>
      </c>
      <c r="E211" t="s">
        <v>43</v>
      </c>
      <c r="F211" t="s">
        <v>73</v>
      </c>
      <c r="G211">
        <v>69</v>
      </c>
      <c r="H211">
        <v>6.43</v>
      </c>
      <c r="I211">
        <v>443.58</v>
      </c>
      <c r="J211" t="s">
        <v>15</v>
      </c>
      <c r="K211" t="s">
        <v>16</v>
      </c>
    </row>
    <row r="212" spans="1:11" hidden="1" x14ac:dyDescent="0.3">
      <c r="A212">
        <v>2211</v>
      </c>
      <c r="B212" t="s">
        <v>48</v>
      </c>
      <c r="C212" t="s">
        <v>26</v>
      </c>
      <c r="D212" t="s">
        <v>57</v>
      </c>
      <c r="E212" t="s">
        <v>13</v>
      </c>
      <c r="F212" t="s">
        <v>51</v>
      </c>
      <c r="G212">
        <v>55</v>
      </c>
      <c r="H212">
        <v>25.2</v>
      </c>
      <c r="I212">
        <v>1386.12</v>
      </c>
      <c r="J212" t="s">
        <v>15</v>
      </c>
      <c r="K212" t="s">
        <v>16</v>
      </c>
    </row>
    <row r="213" spans="1:11" hidden="1" x14ac:dyDescent="0.3">
      <c r="A213">
        <v>2212</v>
      </c>
      <c r="B213" t="s">
        <v>62</v>
      </c>
      <c r="C213" t="s">
        <v>18</v>
      </c>
      <c r="D213" t="s">
        <v>57</v>
      </c>
      <c r="E213" t="s">
        <v>13</v>
      </c>
      <c r="F213" t="s">
        <v>28</v>
      </c>
      <c r="G213">
        <v>27</v>
      </c>
      <c r="H213">
        <v>19.670000000000002</v>
      </c>
      <c r="I213">
        <v>531.19000000000005</v>
      </c>
      <c r="J213" t="s">
        <v>15</v>
      </c>
      <c r="K213" t="s">
        <v>16</v>
      </c>
    </row>
    <row r="214" spans="1:11" hidden="1" x14ac:dyDescent="0.3">
      <c r="A214">
        <v>2213</v>
      </c>
      <c r="B214" t="s">
        <v>78</v>
      </c>
      <c r="C214" t="s">
        <v>26</v>
      </c>
      <c r="D214" t="s">
        <v>46</v>
      </c>
      <c r="E214" t="s">
        <v>13</v>
      </c>
      <c r="F214" t="s">
        <v>28</v>
      </c>
      <c r="G214">
        <v>47</v>
      </c>
      <c r="H214">
        <v>18.190000000000001</v>
      </c>
      <c r="I214">
        <v>854.76</v>
      </c>
      <c r="J214" t="s">
        <v>29</v>
      </c>
      <c r="K214" t="s">
        <v>16</v>
      </c>
    </row>
    <row r="215" spans="1:11" hidden="1" x14ac:dyDescent="0.3">
      <c r="A215">
        <v>2011</v>
      </c>
      <c r="B215" t="s">
        <v>45</v>
      </c>
      <c r="C215" t="s">
        <v>31</v>
      </c>
      <c r="D215" t="s">
        <v>46</v>
      </c>
      <c r="E215" t="s">
        <v>43</v>
      </c>
      <c r="F215" t="s">
        <v>47</v>
      </c>
      <c r="G215">
        <v>74</v>
      </c>
      <c r="H215">
        <v>3.74</v>
      </c>
      <c r="I215">
        <v>276.99</v>
      </c>
      <c r="J215" t="s">
        <v>15</v>
      </c>
      <c r="K215" t="s">
        <v>22</v>
      </c>
    </row>
    <row r="216" spans="1:11" hidden="1" x14ac:dyDescent="0.3">
      <c r="A216">
        <v>2215</v>
      </c>
      <c r="B216" t="s">
        <v>10</v>
      </c>
      <c r="C216" t="s">
        <v>18</v>
      </c>
      <c r="D216" t="s">
        <v>27</v>
      </c>
      <c r="E216" t="s">
        <v>43</v>
      </c>
      <c r="F216" t="s">
        <v>64</v>
      </c>
      <c r="G216">
        <v>36</v>
      </c>
      <c r="H216">
        <v>2.91</v>
      </c>
      <c r="I216">
        <v>104.83</v>
      </c>
      <c r="J216" t="s">
        <v>29</v>
      </c>
      <c r="K216" t="s">
        <v>24</v>
      </c>
    </row>
    <row r="217" spans="1:11" x14ac:dyDescent="0.3">
      <c r="A217">
        <v>2047</v>
      </c>
      <c r="B217" t="s">
        <v>82</v>
      </c>
      <c r="C217" t="s">
        <v>31</v>
      </c>
      <c r="D217" t="s">
        <v>32</v>
      </c>
      <c r="E217" t="s">
        <v>43</v>
      </c>
      <c r="F217" t="s">
        <v>47</v>
      </c>
      <c r="G217">
        <v>66</v>
      </c>
      <c r="H217">
        <v>3.87</v>
      </c>
      <c r="I217">
        <v>255.19</v>
      </c>
      <c r="J217" t="s">
        <v>29</v>
      </c>
      <c r="K217" t="s">
        <v>16</v>
      </c>
    </row>
    <row r="218" spans="1:11" hidden="1" x14ac:dyDescent="0.3">
      <c r="A218">
        <v>2217</v>
      </c>
      <c r="B218" t="s">
        <v>80</v>
      </c>
      <c r="C218" t="s">
        <v>26</v>
      </c>
      <c r="D218" t="s">
        <v>32</v>
      </c>
      <c r="E218" t="s">
        <v>20</v>
      </c>
      <c r="F218" t="s">
        <v>21</v>
      </c>
      <c r="G218">
        <v>55</v>
      </c>
      <c r="H218">
        <v>211.93</v>
      </c>
      <c r="I218">
        <v>11655.94</v>
      </c>
      <c r="J218" t="s">
        <v>29</v>
      </c>
      <c r="K218" t="s">
        <v>24</v>
      </c>
    </row>
    <row r="219" spans="1:11" hidden="1" x14ac:dyDescent="0.3">
      <c r="A219">
        <v>2218</v>
      </c>
      <c r="B219" t="s">
        <v>48</v>
      </c>
      <c r="C219" t="s">
        <v>18</v>
      </c>
      <c r="D219" t="s">
        <v>46</v>
      </c>
      <c r="E219" t="s">
        <v>43</v>
      </c>
      <c r="F219" t="s">
        <v>64</v>
      </c>
      <c r="G219">
        <v>26</v>
      </c>
      <c r="H219">
        <v>3.14</v>
      </c>
      <c r="I219">
        <v>81.63</v>
      </c>
      <c r="J219" t="s">
        <v>29</v>
      </c>
      <c r="K219" t="s">
        <v>22</v>
      </c>
    </row>
    <row r="220" spans="1:11" hidden="1" x14ac:dyDescent="0.3">
      <c r="A220">
        <v>2219</v>
      </c>
      <c r="B220" t="s">
        <v>54</v>
      </c>
      <c r="C220" t="s">
        <v>18</v>
      </c>
      <c r="D220" t="s">
        <v>12</v>
      </c>
      <c r="E220" t="s">
        <v>43</v>
      </c>
      <c r="F220" t="s">
        <v>64</v>
      </c>
      <c r="G220">
        <v>72</v>
      </c>
      <c r="H220">
        <v>2.73</v>
      </c>
      <c r="I220">
        <v>196.75</v>
      </c>
      <c r="J220" t="s">
        <v>29</v>
      </c>
      <c r="K220" t="s">
        <v>16</v>
      </c>
    </row>
    <row r="221" spans="1:11" x14ac:dyDescent="0.3">
      <c r="A221">
        <v>2066</v>
      </c>
      <c r="B221" t="s">
        <v>93</v>
      </c>
      <c r="C221" t="s">
        <v>31</v>
      </c>
      <c r="D221" t="s">
        <v>35</v>
      </c>
      <c r="E221" t="s">
        <v>43</v>
      </c>
      <c r="F221" t="s">
        <v>47</v>
      </c>
      <c r="G221">
        <v>64</v>
      </c>
      <c r="H221">
        <v>3.79</v>
      </c>
      <c r="I221">
        <v>242.75</v>
      </c>
      <c r="J221" t="s">
        <v>29</v>
      </c>
      <c r="K221" t="s">
        <v>30</v>
      </c>
    </row>
    <row r="222" spans="1:11" hidden="1" x14ac:dyDescent="0.3">
      <c r="A222">
        <v>2221</v>
      </c>
      <c r="B222" t="s">
        <v>83</v>
      </c>
      <c r="C222" t="s">
        <v>26</v>
      </c>
      <c r="D222" t="s">
        <v>39</v>
      </c>
      <c r="E222" t="s">
        <v>43</v>
      </c>
      <c r="F222" t="s">
        <v>44</v>
      </c>
      <c r="G222">
        <v>71</v>
      </c>
      <c r="H222">
        <v>8.07</v>
      </c>
      <c r="I222">
        <v>572.64</v>
      </c>
      <c r="J222" t="s">
        <v>29</v>
      </c>
      <c r="K222" t="s">
        <v>24</v>
      </c>
    </row>
    <row r="223" spans="1:11" hidden="1" x14ac:dyDescent="0.3">
      <c r="A223">
        <v>2222</v>
      </c>
      <c r="B223" t="s">
        <v>118</v>
      </c>
      <c r="C223" t="s">
        <v>11</v>
      </c>
      <c r="D223" t="s">
        <v>12</v>
      </c>
      <c r="E223" t="s">
        <v>43</v>
      </c>
      <c r="F223" t="s">
        <v>64</v>
      </c>
      <c r="G223">
        <v>80</v>
      </c>
      <c r="H223">
        <v>2.9</v>
      </c>
      <c r="I223">
        <v>231.77</v>
      </c>
      <c r="J223" t="s">
        <v>15</v>
      </c>
      <c r="K223" t="s">
        <v>22</v>
      </c>
    </row>
    <row r="224" spans="1:11" hidden="1" x14ac:dyDescent="0.3">
      <c r="A224">
        <v>2223</v>
      </c>
      <c r="B224" t="s">
        <v>128</v>
      </c>
      <c r="C224" t="s">
        <v>18</v>
      </c>
      <c r="D224" t="s">
        <v>32</v>
      </c>
      <c r="E224" t="s">
        <v>13</v>
      </c>
      <c r="F224" t="s">
        <v>28</v>
      </c>
      <c r="G224">
        <v>52</v>
      </c>
      <c r="H224">
        <v>20.11</v>
      </c>
      <c r="I224">
        <v>1045.76</v>
      </c>
      <c r="J224" t="s">
        <v>29</v>
      </c>
      <c r="K224" t="s">
        <v>16</v>
      </c>
    </row>
    <row r="225" spans="1:11" x14ac:dyDescent="0.3">
      <c r="A225">
        <v>2063</v>
      </c>
      <c r="B225" t="s">
        <v>93</v>
      </c>
      <c r="C225" t="s">
        <v>31</v>
      </c>
      <c r="D225" t="s">
        <v>12</v>
      </c>
      <c r="E225" t="s">
        <v>43</v>
      </c>
      <c r="F225" t="s">
        <v>64</v>
      </c>
      <c r="G225">
        <v>75</v>
      </c>
      <c r="H225">
        <v>3.12</v>
      </c>
      <c r="I225">
        <v>234.36</v>
      </c>
      <c r="J225" t="s">
        <v>29</v>
      </c>
      <c r="K225" t="s">
        <v>24</v>
      </c>
    </row>
    <row r="226" spans="1:11" hidden="1" x14ac:dyDescent="0.3">
      <c r="A226">
        <v>2225</v>
      </c>
      <c r="B226" t="s">
        <v>121</v>
      </c>
      <c r="C226" t="s">
        <v>11</v>
      </c>
      <c r="D226" t="s">
        <v>19</v>
      </c>
      <c r="E226" t="s">
        <v>20</v>
      </c>
      <c r="F226" t="s">
        <v>33</v>
      </c>
      <c r="G226">
        <v>72</v>
      </c>
      <c r="H226">
        <v>110.14</v>
      </c>
      <c r="I226">
        <v>7929.85</v>
      </c>
      <c r="J226" t="s">
        <v>29</v>
      </c>
      <c r="K226" t="s">
        <v>16</v>
      </c>
    </row>
    <row r="227" spans="1:11" hidden="1" x14ac:dyDescent="0.3">
      <c r="A227">
        <v>2226</v>
      </c>
      <c r="B227" t="s">
        <v>131</v>
      </c>
      <c r="C227" t="s">
        <v>26</v>
      </c>
      <c r="D227" t="s">
        <v>19</v>
      </c>
      <c r="E227" t="s">
        <v>43</v>
      </c>
      <c r="F227" t="s">
        <v>49</v>
      </c>
      <c r="G227">
        <v>39</v>
      </c>
      <c r="H227">
        <v>1.57</v>
      </c>
      <c r="I227">
        <v>61.23</v>
      </c>
      <c r="J227" t="s">
        <v>29</v>
      </c>
      <c r="K227" t="s">
        <v>24</v>
      </c>
    </row>
    <row r="228" spans="1:11" hidden="1" x14ac:dyDescent="0.3">
      <c r="A228">
        <v>2227</v>
      </c>
      <c r="B228" t="s">
        <v>79</v>
      </c>
      <c r="C228" t="s">
        <v>11</v>
      </c>
      <c r="D228" t="s">
        <v>35</v>
      </c>
      <c r="E228" t="s">
        <v>43</v>
      </c>
      <c r="F228" t="s">
        <v>73</v>
      </c>
      <c r="G228">
        <v>34</v>
      </c>
      <c r="H228">
        <v>6.3</v>
      </c>
      <c r="I228">
        <v>214.07</v>
      </c>
      <c r="J228" t="s">
        <v>29</v>
      </c>
      <c r="K228" t="s">
        <v>22</v>
      </c>
    </row>
    <row r="229" spans="1:11" x14ac:dyDescent="0.3">
      <c r="A229">
        <v>2214</v>
      </c>
      <c r="B229" t="s">
        <v>116</v>
      </c>
      <c r="C229" t="s">
        <v>31</v>
      </c>
      <c r="D229" t="s">
        <v>27</v>
      </c>
      <c r="E229" t="s">
        <v>13</v>
      </c>
      <c r="F229" t="s">
        <v>28</v>
      </c>
      <c r="G229">
        <v>10</v>
      </c>
      <c r="H229">
        <v>21.93</v>
      </c>
      <c r="I229">
        <v>219.3</v>
      </c>
      <c r="J229" t="s">
        <v>29</v>
      </c>
      <c r="K229" t="s">
        <v>24</v>
      </c>
    </row>
    <row r="230" spans="1:11" hidden="1" x14ac:dyDescent="0.3">
      <c r="A230">
        <v>2229</v>
      </c>
      <c r="B230" t="s">
        <v>85</v>
      </c>
      <c r="C230" t="s">
        <v>26</v>
      </c>
      <c r="D230" t="s">
        <v>12</v>
      </c>
      <c r="E230" t="s">
        <v>13</v>
      </c>
      <c r="F230" t="s">
        <v>81</v>
      </c>
      <c r="G230">
        <v>29</v>
      </c>
      <c r="H230">
        <v>189.91</v>
      </c>
      <c r="I230">
        <v>5507.44</v>
      </c>
      <c r="J230" t="s">
        <v>15</v>
      </c>
      <c r="K230" t="s">
        <v>16</v>
      </c>
    </row>
    <row r="231" spans="1:11" hidden="1" x14ac:dyDescent="0.3">
      <c r="A231">
        <v>2230</v>
      </c>
      <c r="B231" t="s">
        <v>124</v>
      </c>
      <c r="C231" t="s">
        <v>26</v>
      </c>
      <c r="D231" t="s">
        <v>39</v>
      </c>
      <c r="E231" t="s">
        <v>43</v>
      </c>
      <c r="F231" t="s">
        <v>47</v>
      </c>
      <c r="G231">
        <v>1</v>
      </c>
      <c r="H231">
        <v>3.61</v>
      </c>
      <c r="I231">
        <v>3.61</v>
      </c>
      <c r="J231" t="s">
        <v>29</v>
      </c>
      <c r="K231" t="s">
        <v>22</v>
      </c>
    </row>
    <row r="232" spans="1:11" hidden="1" x14ac:dyDescent="0.3">
      <c r="A232">
        <v>2209</v>
      </c>
      <c r="B232" t="s">
        <v>17</v>
      </c>
      <c r="C232" t="s">
        <v>31</v>
      </c>
      <c r="D232" t="s">
        <v>19</v>
      </c>
      <c r="E232" t="s">
        <v>43</v>
      </c>
      <c r="F232" t="s">
        <v>64</v>
      </c>
      <c r="G232">
        <v>68</v>
      </c>
      <c r="H232">
        <v>2.71</v>
      </c>
      <c r="I232">
        <v>184.4</v>
      </c>
      <c r="J232" t="s">
        <v>15</v>
      </c>
      <c r="K232" t="s">
        <v>30</v>
      </c>
    </row>
    <row r="233" spans="1:11" hidden="1" x14ac:dyDescent="0.3">
      <c r="A233">
        <v>2180</v>
      </c>
      <c r="B233" t="s">
        <v>65</v>
      </c>
      <c r="C233" t="s">
        <v>31</v>
      </c>
      <c r="D233" t="s">
        <v>46</v>
      </c>
      <c r="E233" t="s">
        <v>43</v>
      </c>
      <c r="F233" t="s">
        <v>64</v>
      </c>
      <c r="G233">
        <v>60</v>
      </c>
      <c r="H233">
        <v>2.82</v>
      </c>
      <c r="I233">
        <v>169.02</v>
      </c>
      <c r="J233" t="s">
        <v>15</v>
      </c>
      <c r="K233" t="s">
        <v>16</v>
      </c>
    </row>
    <row r="234" spans="1:11" hidden="1" x14ac:dyDescent="0.3">
      <c r="A234">
        <v>2233</v>
      </c>
      <c r="B234" t="s">
        <v>131</v>
      </c>
      <c r="C234" t="s">
        <v>18</v>
      </c>
      <c r="D234" t="s">
        <v>32</v>
      </c>
      <c r="E234" t="s">
        <v>43</v>
      </c>
      <c r="F234" t="s">
        <v>44</v>
      </c>
      <c r="G234">
        <v>20</v>
      </c>
      <c r="H234">
        <v>7.56</v>
      </c>
      <c r="I234">
        <v>151.13</v>
      </c>
      <c r="J234" t="s">
        <v>15</v>
      </c>
      <c r="K234" t="s">
        <v>24</v>
      </c>
    </row>
    <row r="235" spans="1:11" hidden="1" x14ac:dyDescent="0.3">
      <c r="A235">
        <v>2234</v>
      </c>
      <c r="B235" t="s">
        <v>65</v>
      </c>
      <c r="C235" t="s">
        <v>11</v>
      </c>
      <c r="D235" t="s">
        <v>32</v>
      </c>
      <c r="E235" t="s">
        <v>20</v>
      </c>
      <c r="F235" t="s">
        <v>21</v>
      </c>
      <c r="G235">
        <v>21</v>
      </c>
      <c r="H235">
        <v>216.99</v>
      </c>
      <c r="I235">
        <v>4556.6899999999996</v>
      </c>
      <c r="J235" t="s">
        <v>29</v>
      </c>
      <c r="K235" t="s">
        <v>16</v>
      </c>
    </row>
    <row r="236" spans="1:11" x14ac:dyDescent="0.3">
      <c r="A236">
        <v>2056</v>
      </c>
      <c r="B236" t="s">
        <v>60</v>
      </c>
      <c r="C236" t="s">
        <v>31</v>
      </c>
      <c r="D236" t="s">
        <v>32</v>
      </c>
      <c r="E236" t="s">
        <v>13</v>
      </c>
      <c r="F236" t="s">
        <v>28</v>
      </c>
      <c r="G236">
        <v>8</v>
      </c>
      <c r="H236">
        <v>18.12</v>
      </c>
      <c r="I236">
        <v>144.97999999999999</v>
      </c>
      <c r="J236" t="s">
        <v>29</v>
      </c>
      <c r="K236" t="s">
        <v>24</v>
      </c>
    </row>
    <row r="237" spans="1:11" hidden="1" x14ac:dyDescent="0.3">
      <c r="A237">
        <v>2236</v>
      </c>
      <c r="B237" t="s">
        <v>82</v>
      </c>
      <c r="C237" t="s">
        <v>18</v>
      </c>
      <c r="D237" t="s">
        <v>35</v>
      </c>
      <c r="E237" t="s">
        <v>20</v>
      </c>
      <c r="F237" t="s">
        <v>33</v>
      </c>
      <c r="G237">
        <v>62</v>
      </c>
      <c r="H237">
        <v>118.35</v>
      </c>
      <c r="I237">
        <v>7337.63</v>
      </c>
      <c r="J237" t="s">
        <v>29</v>
      </c>
      <c r="K237" t="s">
        <v>22</v>
      </c>
    </row>
    <row r="238" spans="1:11" hidden="1" x14ac:dyDescent="0.3">
      <c r="A238">
        <v>2237</v>
      </c>
      <c r="B238" t="s">
        <v>89</v>
      </c>
      <c r="C238" t="s">
        <v>18</v>
      </c>
      <c r="D238" t="s">
        <v>57</v>
      </c>
      <c r="E238" t="s">
        <v>13</v>
      </c>
      <c r="F238" t="s">
        <v>51</v>
      </c>
      <c r="G238">
        <v>33</v>
      </c>
      <c r="H238">
        <v>26.02</v>
      </c>
      <c r="I238">
        <v>858.79</v>
      </c>
      <c r="J238" t="s">
        <v>15</v>
      </c>
      <c r="K238" t="s">
        <v>16</v>
      </c>
    </row>
    <row r="239" spans="1:11" hidden="1" x14ac:dyDescent="0.3">
      <c r="A239">
        <v>2238</v>
      </c>
      <c r="B239" t="s">
        <v>50</v>
      </c>
      <c r="C239" t="s">
        <v>11</v>
      </c>
      <c r="D239" t="s">
        <v>19</v>
      </c>
      <c r="E239" t="s">
        <v>20</v>
      </c>
      <c r="F239" t="s">
        <v>41</v>
      </c>
      <c r="G239">
        <v>18</v>
      </c>
      <c r="H239">
        <v>233.91</v>
      </c>
      <c r="I239">
        <v>4210.33</v>
      </c>
      <c r="J239" t="s">
        <v>15</v>
      </c>
      <c r="K239" t="s">
        <v>30</v>
      </c>
    </row>
    <row r="240" spans="1:11" x14ac:dyDescent="0.3">
      <c r="A240">
        <v>2012</v>
      </c>
      <c r="B240" t="s">
        <v>48</v>
      </c>
      <c r="C240" t="s">
        <v>31</v>
      </c>
      <c r="D240" t="s">
        <v>46</v>
      </c>
      <c r="E240" t="s">
        <v>43</v>
      </c>
      <c r="F240" t="s">
        <v>49</v>
      </c>
      <c r="G240">
        <v>73</v>
      </c>
      <c r="H240">
        <v>1.55</v>
      </c>
      <c r="I240">
        <v>113.04</v>
      </c>
      <c r="J240" t="s">
        <v>29</v>
      </c>
      <c r="K240" t="s">
        <v>30</v>
      </c>
    </row>
    <row r="241" spans="1:11" hidden="1" x14ac:dyDescent="0.3">
      <c r="A241">
        <v>2240</v>
      </c>
      <c r="B241" t="s">
        <v>55</v>
      </c>
      <c r="C241" t="s">
        <v>26</v>
      </c>
      <c r="D241" t="s">
        <v>19</v>
      </c>
      <c r="E241" t="s">
        <v>13</v>
      </c>
      <c r="F241" t="s">
        <v>81</v>
      </c>
      <c r="G241">
        <v>29</v>
      </c>
      <c r="H241">
        <v>178.62</v>
      </c>
      <c r="I241">
        <v>5179.9399999999996</v>
      </c>
      <c r="J241" t="s">
        <v>29</v>
      </c>
      <c r="K241" t="s">
        <v>22</v>
      </c>
    </row>
    <row r="242" spans="1:11" x14ac:dyDescent="0.3">
      <c r="A242">
        <v>2128</v>
      </c>
      <c r="B242" t="s">
        <v>116</v>
      </c>
      <c r="C242" t="s">
        <v>31</v>
      </c>
      <c r="D242" t="s">
        <v>12</v>
      </c>
      <c r="E242" t="s">
        <v>43</v>
      </c>
      <c r="F242" t="s">
        <v>49</v>
      </c>
      <c r="G242">
        <v>71</v>
      </c>
      <c r="H242">
        <v>1.52</v>
      </c>
      <c r="I242">
        <v>107.92</v>
      </c>
      <c r="J242" t="s">
        <v>29</v>
      </c>
      <c r="K242" t="s">
        <v>22</v>
      </c>
    </row>
    <row r="243" spans="1:11" hidden="1" x14ac:dyDescent="0.3">
      <c r="A243">
        <v>2188</v>
      </c>
      <c r="B243" t="s">
        <v>95</v>
      </c>
      <c r="C243" t="s">
        <v>31</v>
      </c>
      <c r="D243" t="s">
        <v>19</v>
      </c>
      <c r="E243" t="s">
        <v>43</v>
      </c>
      <c r="F243" t="s">
        <v>49</v>
      </c>
      <c r="G243">
        <v>62</v>
      </c>
      <c r="H243">
        <v>1.45</v>
      </c>
      <c r="I243">
        <v>89.88</v>
      </c>
      <c r="J243" t="s">
        <v>15</v>
      </c>
      <c r="K243" t="s">
        <v>16</v>
      </c>
    </row>
    <row r="244" spans="1:11" x14ac:dyDescent="0.3">
      <c r="A244">
        <v>2245</v>
      </c>
      <c r="B244" t="s">
        <v>134</v>
      </c>
      <c r="C244" t="s">
        <v>31</v>
      </c>
      <c r="D244" t="s">
        <v>12</v>
      </c>
      <c r="E244" t="s">
        <v>43</v>
      </c>
      <c r="F244" t="s">
        <v>64</v>
      </c>
      <c r="G244">
        <v>29</v>
      </c>
      <c r="H244">
        <v>2.98</v>
      </c>
      <c r="I244">
        <v>86.44</v>
      </c>
      <c r="J244" t="s">
        <v>29</v>
      </c>
      <c r="K244" t="s">
        <v>30</v>
      </c>
    </row>
    <row r="245" spans="1:11" hidden="1" x14ac:dyDescent="0.3">
      <c r="A245">
        <v>2298</v>
      </c>
      <c r="B245" t="s">
        <v>97</v>
      </c>
      <c r="C245" t="s">
        <v>31</v>
      </c>
      <c r="D245" t="s">
        <v>27</v>
      </c>
      <c r="E245" t="s">
        <v>43</v>
      </c>
      <c r="F245" t="s">
        <v>64</v>
      </c>
      <c r="G245">
        <v>27</v>
      </c>
      <c r="H245">
        <v>2.81</v>
      </c>
      <c r="I245">
        <v>75.930000000000007</v>
      </c>
      <c r="J245" t="s">
        <v>15</v>
      </c>
      <c r="K245" t="s">
        <v>16</v>
      </c>
    </row>
    <row r="246" spans="1:11" x14ac:dyDescent="0.3">
      <c r="A246">
        <v>2015</v>
      </c>
      <c r="B246" t="s">
        <v>53</v>
      </c>
      <c r="C246" t="s">
        <v>31</v>
      </c>
      <c r="D246" t="s">
        <v>39</v>
      </c>
      <c r="E246" t="s">
        <v>43</v>
      </c>
      <c r="F246" t="s">
        <v>47</v>
      </c>
      <c r="G246">
        <v>10</v>
      </c>
      <c r="H246">
        <v>3.86</v>
      </c>
      <c r="I246">
        <v>38.590000000000003</v>
      </c>
      <c r="J246" t="s">
        <v>29</v>
      </c>
      <c r="K246" t="s">
        <v>30</v>
      </c>
    </row>
    <row r="247" spans="1:11" hidden="1" x14ac:dyDescent="0.3">
      <c r="A247">
        <v>2246</v>
      </c>
      <c r="B247" t="s">
        <v>59</v>
      </c>
      <c r="C247" t="s">
        <v>18</v>
      </c>
      <c r="D247" t="s">
        <v>35</v>
      </c>
      <c r="E247" t="s">
        <v>43</v>
      </c>
      <c r="F247" t="s">
        <v>47</v>
      </c>
      <c r="G247">
        <v>80</v>
      </c>
      <c r="H247">
        <v>4.07</v>
      </c>
      <c r="I247">
        <v>325.64</v>
      </c>
      <c r="J247" t="s">
        <v>29</v>
      </c>
      <c r="K247" t="s">
        <v>30</v>
      </c>
    </row>
    <row r="248" spans="1:11" hidden="1" x14ac:dyDescent="0.3">
      <c r="A248">
        <v>2247</v>
      </c>
      <c r="B248" t="s">
        <v>82</v>
      </c>
      <c r="C248" t="s">
        <v>11</v>
      </c>
      <c r="D248" t="s">
        <v>12</v>
      </c>
      <c r="E248" t="s">
        <v>20</v>
      </c>
      <c r="F248" t="s">
        <v>41</v>
      </c>
      <c r="G248">
        <v>48</v>
      </c>
      <c r="H248">
        <v>233.65</v>
      </c>
      <c r="I248">
        <v>11215.09</v>
      </c>
      <c r="J248" t="s">
        <v>29</v>
      </c>
      <c r="K248" t="s">
        <v>30</v>
      </c>
    </row>
    <row r="249" spans="1:11" hidden="1" x14ac:dyDescent="0.3">
      <c r="A249">
        <v>2248</v>
      </c>
      <c r="B249" t="s">
        <v>128</v>
      </c>
      <c r="C249" t="s">
        <v>18</v>
      </c>
      <c r="D249" t="s">
        <v>19</v>
      </c>
      <c r="E249" t="s">
        <v>20</v>
      </c>
      <c r="F249" t="s">
        <v>61</v>
      </c>
      <c r="G249">
        <v>73</v>
      </c>
      <c r="H249">
        <v>358.24</v>
      </c>
      <c r="I249">
        <v>26151.78</v>
      </c>
      <c r="J249" t="s">
        <v>15</v>
      </c>
      <c r="K249" t="s">
        <v>24</v>
      </c>
    </row>
    <row r="250" spans="1:11" x14ac:dyDescent="0.3">
      <c r="A250">
        <v>2025</v>
      </c>
      <c r="B250" t="s">
        <v>63</v>
      </c>
      <c r="C250" t="s">
        <v>31</v>
      </c>
      <c r="D250" t="s">
        <v>32</v>
      </c>
      <c r="E250" t="s">
        <v>43</v>
      </c>
      <c r="F250" t="s">
        <v>64</v>
      </c>
      <c r="G250">
        <v>12</v>
      </c>
      <c r="H250">
        <v>3.15</v>
      </c>
      <c r="I250">
        <v>37.76</v>
      </c>
      <c r="J250" t="s">
        <v>29</v>
      </c>
      <c r="K250" t="s">
        <v>16</v>
      </c>
    </row>
    <row r="251" spans="1:11" hidden="1" x14ac:dyDescent="0.3">
      <c r="A251">
        <v>2250</v>
      </c>
      <c r="B251" t="s">
        <v>58</v>
      </c>
      <c r="C251" t="s">
        <v>18</v>
      </c>
      <c r="D251" t="s">
        <v>32</v>
      </c>
      <c r="E251" t="s">
        <v>43</v>
      </c>
      <c r="F251" t="s">
        <v>73</v>
      </c>
      <c r="G251">
        <v>9</v>
      </c>
      <c r="H251">
        <v>5.99</v>
      </c>
      <c r="I251">
        <v>53.93</v>
      </c>
      <c r="J251" t="s">
        <v>29</v>
      </c>
      <c r="K251" t="s">
        <v>16</v>
      </c>
    </row>
    <row r="252" spans="1:11" hidden="1" x14ac:dyDescent="0.3">
      <c r="A252">
        <v>2251</v>
      </c>
      <c r="B252" t="s">
        <v>127</v>
      </c>
      <c r="C252" t="s">
        <v>18</v>
      </c>
      <c r="D252" t="s">
        <v>32</v>
      </c>
      <c r="E252" t="s">
        <v>43</v>
      </c>
      <c r="F252" t="s">
        <v>73</v>
      </c>
      <c r="G252">
        <v>65</v>
      </c>
      <c r="H252">
        <v>5.85</v>
      </c>
      <c r="I252">
        <v>380.26</v>
      </c>
      <c r="J252" t="s">
        <v>29</v>
      </c>
      <c r="K252" t="s">
        <v>16</v>
      </c>
    </row>
    <row r="253" spans="1:11" hidden="1" x14ac:dyDescent="0.3">
      <c r="A253">
        <v>2252</v>
      </c>
      <c r="B253" t="s">
        <v>108</v>
      </c>
      <c r="C253" t="s">
        <v>18</v>
      </c>
      <c r="D253" t="s">
        <v>46</v>
      </c>
      <c r="E253" t="s">
        <v>20</v>
      </c>
      <c r="F253" t="s">
        <v>41</v>
      </c>
      <c r="G253">
        <v>36</v>
      </c>
      <c r="H253">
        <v>247.68</v>
      </c>
      <c r="I253">
        <v>8916.49</v>
      </c>
      <c r="J253" t="s">
        <v>29</v>
      </c>
      <c r="K253" t="s">
        <v>16</v>
      </c>
    </row>
    <row r="254" spans="1:11" x14ac:dyDescent="0.3">
      <c r="A254">
        <v>2136</v>
      </c>
      <c r="B254" t="s">
        <v>120</v>
      </c>
      <c r="C254" t="s">
        <v>31</v>
      </c>
      <c r="D254" t="s">
        <v>12</v>
      </c>
      <c r="E254" t="s">
        <v>43</v>
      </c>
      <c r="F254" t="s">
        <v>49</v>
      </c>
      <c r="G254">
        <v>21</v>
      </c>
      <c r="H254">
        <v>1.58</v>
      </c>
      <c r="I254">
        <v>33.159999999999997</v>
      </c>
      <c r="J254" t="s">
        <v>29</v>
      </c>
      <c r="K254" t="s">
        <v>22</v>
      </c>
    </row>
    <row r="255" spans="1:11" hidden="1" x14ac:dyDescent="0.3">
      <c r="A255">
        <v>2254</v>
      </c>
      <c r="B255" t="s">
        <v>23</v>
      </c>
      <c r="C255" t="s">
        <v>18</v>
      </c>
      <c r="D255" t="s">
        <v>39</v>
      </c>
      <c r="E255" t="s">
        <v>13</v>
      </c>
      <c r="F255" t="s">
        <v>36</v>
      </c>
      <c r="G255">
        <v>10</v>
      </c>
      <c r="H255">
        <v>322.24</v>
      </c>
      <c r="I255">
        <v>3222.43</v>
      </c>
      <c r="J255" t="s">
        <v>15</v>
      </c>
      <c r="K255" t="s">
        <v>22</v>
      </c>
    </row>
    <row r="256" spans="1:11" hidden="1" x14ac:dyDescent="0.3">
      <c r="A256">
        <v>2255</v>
      </c>
      <c r="B256" t="s">
        <v>42</v>
      </c>
      <c r="C256" t="s">
        <v>11</v>
      </c>
      <c r="D256" t="s">
        <v>39</v>
      </c>
      <c r="E256" t="s">
        <v>13</v>
      </c>
      <c r="F256" t="s">
        <v>67</v>
      </c>
      <c r="G256">
        <v>52</v>
      </c>
      <c r="H256">
        <v>834.97</v>
      </c>
      <c r="I256">
        <v>43418.32</v>
      </c>
      <c r="J256" t="s">
        <v>29</v>
      </c>
      <c r="K256" t="s">
        <v>30</v>
      </c>
    </row>
    <row r="257" spans="1:11" hidden="1" x14ac:dyDescent="0.3">
      <c r="A257">
        <v>2256</v>
      </c>
      <c r="B257" t="s">
        <v>99</v>
      </c>
      <c r="C257" t="s">
        <v>11</v>
      </c>
      <c r="D257" t="s">
        <v>57</v>
      </c>
      <c r="E257" t="s">
        <v>43</v>
      </c>
      <c r="F257" t="s">
        <v>64</v>
      </c>
      <c r="G257">
        <v>68</v>
      </c>
      <c r="H257">
        <v>3.25</v>
      </c>
      <c r="I257">
        <v>221.22</v>
      </c>
      <c r="J257" t="s">
        <v>29</v>
      </c>
      <c r="K257" t="s">
        <v>16</v>
      </c>
    </row>
    <row r="258" spans="1:11" hidden="1" x14ac:dyDescent="0.3">
      <c r="A258">
        <v>2257</v>
      </c>
      <c r="B258" t="s">
        <v>100</v>
      </c>
      <c r="C258" t="s">
        <v>18</v>
      </c>
      <c r="D258" t="s">
        <v>35</v>
      </c>
      <c r="E258" t="s">
        <v>43</v>
      </c>
      <c r="F258" t="s">
        <v>64</v>
      </c>
      <c r="G258">
        <v>60</v>
      </c>
      <c r="H258">
        <v>2.92</v>
      </c>
      <c r="I258">
        <v>175.47</v>
      </c>
      <c r="J258" t="s">
        <v>29</v>
      </c>
      <c r="K258" t="s">
        <v>30</v>
      </c>
    </row>
    <row r="259" spans="1:11" hidden="1" x14ac:dyDescent="0.3">
      <c r="A259">
        <v>2258</v>
      </c>
      <c r="B259" t="s">
        <v>97</v>
      </c>
      <c r="C259" t="s">
        <v>11</v>
      </c>
      <c r="D259" t="s">
        <v>39</v>
      </c>
      <c r="E259" t="s">
        <v>20</v>
      </c>
      <c r="F259" t="s">
        <v>21</v>
      </c>
      <c r="G259">
        <v>9</v>
      </c>
      <c r="H259">
        <v>207.19</v>
      </c>
      <c r="I259">
        <v>1864.75</v>
      </c>
      <c r="J259" t="s">
        <v>29</v>
      </c>
      <c r="K259" t="s">
        <v>30</v>
      </c>
    </row>
    <row r="260" spans="1:11" hidden="1" x14ac:dyDescent="0.3">
      <c r="A260">
        <v>2259</v>
      </c>
      <c r="B260" t="s">
        <v>134</v>
      </c>
      <c r="C260" t="s">
        <v>26</v>
      </c>
      <c r="D260" t="s">
        <v>46</v>
      </c>
      <c r="E260" t="s">
        <v>43</v>
      </c>
      <c r="F260" t="s">
        <v>44</v>
      </c>
      <c r="G260">
        <v>7</v>
      </c>
      <c r="H260">
        <v>7.34</v>
      </c>
      <c r="I260">
        <v>51.35</v>
      </c>
      <c r="J260" t="s">
        <v>29</v>
      </c>
      <c r="K260" t="s">
        <v>16</v>
      </c>
    </row>
    <row r="261" spans="1:11" x14ac:dyDescent="0.3">
      <c r="A261">
        <v>2242</v>
      </c>
      <c r="B261" t="s">
        <v>69</v>
      </c>
      <c r="C261" t="s">
        <v>31</v>
      </c>
      <c r="D261" t="s">
        <v>46</v>
      </c>
      <c r="E261" t="s">
        <v>43</v>
      </c>
      <c r="F261" t="s">
        <v>47</v>
      </c>
      <c r="G261">
        <v>8</v>
      </c>
      <c r="H261">
        <v>3.93</v>
      </c>
      <c r="I261">
        <v>31.45</v>
      </c>
      <c r="J261" t="s">
        <v>29</v>
      </c>
      <c r="K261" t="s">
        <v>22</v>
      </c>
    </row>
    <row r="262" spans="1:11" hidden="1" x14ac:dyDescent="0.3">
      <c r="A262">
        <v>2261</v>
      </c>
      <c r="B262" t="s">
        <v>127</v>
      </c>
      <c r="C262" t="s">
        <v>26</v>
      </c>
      <c r="D262" t="s">
        <v>32</v>
      </c>
      <c r="E262" t="s">
        <v>13</v>
      </c>
      <c r="F262" t="s">
        <v>14</v>
      </c>
      <c r="G262">
        <v>65</v>
      </c>
      <c r="H262">
        <v>74.040000000000006</v>
      </c>
      <c r="I262">
        <v>4812.68</v>
      </c>
      <c r="J262" t="s">
        <v>15</v>
      </c>
      <c r="K262" t="s">
        <v>30</v>
      </c>
    </row>
    <row r="263" spans="1:11" hidden="1" x14ac:dyDescent="0.3">
      <c r="A263">
        <v>2262</v>
      </c>
      <c r="B263" t="s">
        <v>40</v>
      </c>
      <c r="C263" t="s">
        <v>26</v>
      </c>
      <c r="D263" t="s">
        <v>32</v>
      </c>
      <c r="E263" t="s">
        <v>13</v>
      </c>
      <c r="F263" t="s">
        <v>51</v>
      </c>
      <c r="G263">
        <v>78</v>
      </c>
      <c r="H263">
        <v>23.17</v>
      </c>
      <c r="I263">
        <v>1806.92</v>
      </c>
      <c r="J263" t="s">
        <v>29</v>
      </c>
      <c r="K263" t="s">
        <v>16</v>
      </c>
    </row>
    <row r="264" spans="1:11" hidden="1" x14ac:dyDescent="0.3">
      <c r="A264">
        <v>2089</v>
      </c>
      <c r="B264" t="s">
        <v>101</v>
      </c>
      <c r="C264" t="s">
        <v>31</v>
      </c>
      <c r="D264" t="s">
        <v>39</v>
      </c>
      <c r="E264" t="s">
        <v>13</v>
      </c>
      <c r="F264" t="s">
        <v>28</v>
      </c>
      <c r="G264">
        <v>1</v>
      </c>
      <c r="H264">
        <v>18.27</v>
      </c>
      <c r="I264">
        <v>18.27</v>
      </c>
      <c r="J264" t="s">
        <v>15</v>
      </c>
      <c r="K264" t="s">
        <v>16</v>
      </c>
    </row>
    <row r="265" spans="1:11" hidden="1" x14ac:dyDescent="0.3">
      <c r="A265">
        <v>2264</v>
      </c>
      <c r="B265" t="s">
        <v>129</v>
      </c>
      <c r="C265" t="s">
        <v>11</v>
      </c>
      <c r="D265" t="s">
        <v>35</v>
      </c>
      <c r="E265" t="s">
        <v>13</v>
      </c>
      <c r="F265" t="s">
        <v>51</v>
      </c>
      <c r="G265">
        <v>49</v>
      </c>
      <c r="H265">
        <v>25.78</v>
      </c>
      <c r="I265">
        <v>1263.08</v>
      </c>
      <c r="J265" t="s">
        <v>29</v>
      </c>
      <c r="K265" t="s">
        <v>30</v>
      </c>
    </row>
    <row r="266" spans="1:11" hidden="1" x14ac:dyDescent="0.3">
      <c r="A266">
        <v>2265</v>
      </c>
      <c r="B266" t="s">
        <v>78</v>
      </c>
      <c r="C266" t="s">
        <v>26</v>
      </c>
      <c r="D266" t="s">
        <v>46</v>
      </c>
      <c r="E266" t="s">
        <v>20</v>
      </c>
      <c r="F266" t="s">
        <v>33</v>
      </c>
      <c r="G266">
        <v>76</v>
      </c>
      <c r="H266">
        <v>120.39</v>
      </c>
      <c r="I266">
        <v>9149.74</v>
      </c>
      <c r="J266" t="s">
        <v>15</v>
      </c>
      <c r="K266" t="s">
        <v>30</v>
      </c>
    </row>
    <row r="267" spans="1:11" hidden="1" x14ac:dyDescent="0.3">
      <c r="A267">
        <v>2266</v>
      </c>
      <c r="B267" t="s">
        <v>85</v>
      </c>
      <c r="C267" t="s">
        <v>11</v>
      </c>
      <c r="D267" t="s">
        <v>57</v>
      </c>
      <c r="E267" t="s">
        <v>20</v>
      </c>
      <c r="F267" t="s">
        <v>75</v>
      </c>
      <c r="G267">
        <v>32</v>
      </c>
      <c r="H267">
        <v>842.21</v>
      </c>
      <c r="I267">
        <v>26950.61</v>
      </c>
      <c r="J267" t="s">
        <v>29</v>
      </c>
      <c r="K267" t="s">
        <v>30</v>
      </c>
    </row>
    <row r="268" spans="1:11" hidden="1" x14ac:dyDescent="0.3">
      <c r="A268">
        <v>2267</v>
      </c>
      <c r="B268" t="s">
        <v>38</v>
      </c>
      <c r="C268" t="s">
        <v>11</v>
      </c>
      <c r="D268" t="s">
        <v>19</v>
      </c>
      <c r="E268" t="s">
        <v>13</v>
      </c>
      <c r="F268" t="s">
        <v>36</v>
      </c>
      <c r="G268">
        <v>2</v>
      </c>
      <c r="H268">
        <v>288.69</v>
      </c>
      <c r="I268">
        <v>577.39</v>
      </c>
      <c r="J268" t="s">
        <v>29</v>
      </c>
      <c r="K268" t="s">
        <v>16</v>
      </c>
    </row>
    <row r="269" spans="1:11" hidden="1" x14ac:dyDescent="0.3">
      <c r="A269">
        <v>2268</v>
      </c>
      <c r="B269" t="s">
        <v>71</v>
      </c>
      <c r="C269" t="s">
        <v>11</v>
      </c>
      <c r="D269" t="s">
        <v>32</v>
      </c>
      <c r="E269" t="s">
        <v>20</v>
      </c>
      <c r="F269" t="s">
        <v>41</v>
      </c>
      <c r="G269">
        <v>59</v>
      </c>
      <c r="H269">
        <v>258.70999999999998</v>
      </c>
      <c r="I269">
        <v>15263.72</v>
      </c>
      <c r="J269" t="s">
        <v>29</v>
      </c>
      <c r="K269" t="s">
        <v>22</v>
      </c>
    </row>
    <row r="270" spans="1:11" hidden="1" x14ac:dyDescent="0.3">
      <c r="A270">
        <v>2269</v>
      </c>
      <c r="B270" t="s">
        <v>62</v>
      </c>
      <c r="C270" t="s">
        <v>18</v>
      </c>
      <c r="D270" t="s">
        <v>19</v>
      </c>
      <c r="E270" t="s">
        <v>20</v>
      </c>
      <c r="F270" t="s">
        <v>75</v>
      </c>
      <c r="G270">
        <v>68</v>
      </c>
      <c r="H270">
        <v>744.46</v>
      </c>
      <c r="I270">
        <v>50623.56</v>
      </c>
      <c r="J270" t="s">
        <v>29</v>
      </c>
      <c r="K270" t="s">
        <v>22</v>
      </c>
    </row>
    <row r="271" spans="1:11" hidden="1" x14ac:dyDescent="0.3">
      <c r="A271">
        <v>2270</v>
      </c>
      <c r="B271" t="s">
        <v>71</v>
      </c>
      <c r="C271" t="s">
        <v>26</v>
      </c>
      <c r="D271" t="s">
        <v>19</v>
      </c>
      <c r="E271" t="s">
        <v>20</v>
      </c>
      <c r="F271" t="s">
        <v>75</v>
      </c>
      <c r="G271">
        <v>8</v>
      </c>
      <c r="H271">
        <v>826.36</v>
      </c>
      <c r="I271">
        <v>6610.89</v>
      </c>
      <c r="J271" t="s">
        <v>29</v>
      </c>
      <c r="K271" t="s">
        <v>22</v>
      </c>
    </row>
    <row r="272" spans="1:11" hidden="1" x14ac:dyDescent="0.3">
      <c r="A272">
        <v>2271</v>
      </c>
      <c r="B272" t="s">
        <v>76</v>
      </c>
      <c r="C272" t="s">
        <v>18</v>
      </c>
      <c r="D272" t="s">
        <v>19</v>
      </c>
      <c r="E272" t="s">
        <v>20</v>
      </c>
      <c r="F272" t="s">
        <v>61</v>
      </c>
      <c r="G272">
        <v>64</v>
      </c>
      <c r="H272">
        <v>315.66000000000003</v>
      </c>
      <c r="I272">
        <v>20202.25</v>
      </c>
      <c r="J272" t="s">
        <v>29</v>
      </c>
      <c r="K272" t="s">
        <v>24</v>
      </c>
    </row>
    <row r="273" spans="1:11" hidden="1" x14ac:dyDescent="0.3">
      <c r="A273">
        <v>2272</v>
      </c>
      <c r="B273" t="s">
        <v>124</v>
      </c>
      <c r="C273" t="s">
        <v>11</v>
      </c>
      <c r="D273" t="s">
        <v>27</v>
      </c>
      <c r="E273" t="s">
        <v>43</v>
      </c>
      <c r="F273" t="s">
        <v>47</v>
      </c>
      <c r="G273">
        <v>58</v>
      </c>
      <c r="H273">
        <v>3.82</v>
      </c>
      <c r="I273">
        <v>221.57</v>
      </c>
      <c r="J273" t="s">
        <v>15</v>
      </c>
      <c r="K273" t="s">
        <v>22</v>
      </c>
    </row>
    <row r="274" spans="1:11" hidden="1" x14ac:dyDescent="0.3">
      <c r="A274">
        <v>2273</v>
      </c>
      <c r="B274" t="s">
        <v>85</v>
      </c>
      <c r="C274" t="s">
        <v>18</v>
      </c>
      <c r="D274" t="s">
        <v>57</v>
      </c>
      <c r="E274" t="s">
        <v>43</v>
      </c>
      <c r="F274" t="s">
        <v>44</v>
      </c>
      <c r="G274">
        <v>32</v>
      </c>
      <c r="H274">
        <v>7.85</v>
      </c>
      <c r="I274">
        <v>251.33</v>
      </c>
      <c r="J274" t="s">
        <v>15</v>
      </c>
      <c r="K274" t="s">
        <v>22</v>
      </c>
    </row>
    <row r="275" spans="1:11" hidden="1" x14ac:dyDescent="0.3">
      <c r="A275">
        <v>2274</v>
      </c>
      <c r="B275" t="s">
        <v>63</v>
      </c>
      <c r="C275" t="s">
        <v>26</v>
      </c>
      <c r="D275" t="s">
        <v>35</v>
      </c>
      <c r="E275" t="s">
        <v>43</v>
      </c>
      <c r="F275" t="s">
        <v>64</v>
      </c>
      <c r="G275">
        <v>56</v>
      </c>
      <c r="H275">
        <v>2.83</v>
      </c>
      <c r="I275">
        <v>158.47999999999999</v>
      </c>
      <c r="J275" t="s">
        <v>15</v>
      </c>
      <c r="K275" t="s">
        <v>16</v>
      </c>
    </row>
    <row r="276" spans="1:11" hidden="1" x14ac:dyDescent="0.3">
      <c r="A276">
        <v>2275</v>
      </c>
      <c r="B276" t="s">
        <v>113</v>
      </c>
      <c r="C276" t="s">
        <v>26</v>
      </c>
      <c r="D276" t="s">
        <v>12</v>
      </c>
      <c r="E276" t="s">
        <v>20</v>
      </c>
      <c r="F276" t="s">
        <v>21</v>
      </c>
      <c r="G276">
        <v>33</v>
      </c>
      <c r="H276">
        <v>213.11</v>
      </c>
      <c r="I276">
        <v>7032.67</v>
      </c>
      <c r="J276" t="s">
        <v>29</v>
      </c>
      <c r="K276" t="s">
        <v>30</v>
      </c>
    </row>
    <row r="277" spans="1:11" hidden="1" x14ac:dyDescent="0.3">
      <c r="A277">
        <v>2276</v>
      </c>
      <c r="B277" t="s">
        <v>124</v>
      </c>
      <c r="C277" t="s">
        <v>11</v>
      </c>
      <c r="D277" t="s">
        <v>32</v>
      </c>
      <c r="E277" t="s">
        <v>43</v>
      </c>
      <c r="F277" t="s">
        <v>44</v>
      </c>
      <c r="G277">
        <v>76</v>
      </c>
      <c r="H277">
        <v>8.17</v>
      </c>
      <c r="I277">
        <v>620.54999999999995</v>
      </c>
      <c r="J277" t="s">
        <v>15</v>
      </c>
      <c r="K277" t="s">
        <v>16</v>
      </c>
    </row>
    <row r="278" spans="1:11" hidden="1" x14ac:dyDescent="0.3">
      <c r="A278">
        <v>2277</v>
      </c>
      <c r="B278" t="s">
        <v>72</v>
      </c>
      <c r="C278" t="s">
        <v>26</v>
      </c>
      <c r="D278" t="s">
        <v>46</v>
      </c>
      <c r="E278" t="s">
        <v>43</v>
      </c>
      <c r="F278" t="s">
        <v>49</v>
      </c>
      <c r="G278">
        <v>28</v>
      </c>
      <c r="H278">
        <v>1.57</v>
      </c>
      <c r="I278">
        <v>43.97</v>
      </c>
      <c r="J278" t="s">
        <v>29</v>
      </c>
      <c r="K278" t="s">
        <v>22</v>
      </c>
    </row>
    <row r="279" spans="1:11" hidden="1" x14ac:dyDescent="0.3">
      <c r="A279">
        <v>2278</v>
      </c>
      <c r="B279" t="s">
        <v>110</v>
      </c>
      <c r="C279" t="s">
        <v>11</v>
      </c>
      <c r="D279" t="s">
        <v>39</v>
      </c>
      <c r="E279" t="s">
        <v>43</v>
      </c>
      <c r="F279" t="s">
        <v>47</v>
      </c>
      <c r="G279">
        <v>32</v>
      </c>
      <c r="H279">
        <v>4.24</v>
      </c>
      <c r="I279">
        <v>135.71</v>
      </c>
      <c r="J279" t="s">
        <v>29</v>
      </c>
      <c r="K279" t="s">
        <v>22</v>
      </c>
    </row>
    <row r="280" spans="1:11" hidden="1" x14ac:dyDescent="0.3">
      <c r="A280">
        <v>2279</v>
      </c>
      <c r="B280" t="s">
        <v>40</v>
      </c>
      <c r="C280" t="s">
        <v>11</v>
      </c>
      <c r="D280" t="s">
        <v>35</v>
      </c>
      <c r="E280" t="s">
        <v>43</v>
      </c>
      <c r="F280" t="s">
        <v>47</v>
      </c>
      <c r="G280">
        <v>76</v>
      </c>
      <c r="H280">
        <v>3.85</v>
      </c>
      <c r="I280">
        <v>292.63</v>
      </c>
      <c r="J280" t="s">
        <v>29</v>
      </c>
      <c r="K280" t="s">
        <v>16</v>
      </c>
    </row>
    <row r="281" spans="1:11" hidden="1" x14ac:dyDescent="0.3">
      <c r="A281">
        <v>2280</v>
      </c>
      <c r="B281" t="s">
        <v>76</v>
      </c>
      <c r="C281" t="s">
        <v>26</v>
      </c>
      <c r="D281" t="s">
        <v>57</v>
      </c>
      <c r="E281" t="s">
        <v>20</v>
      </c>
      <c r="F281" t="s">
        <v>61</v>
      </c>
      <c r="G281">
        <v>77</v>
      </c>
      <c r="H281">
        <v>336.88</v>
      </c>
      <c r="I281">
        <v>25939.39</v>
      </c>
      <c r="J281" t="s">
        <v>15</v>
      </c>
      <c r="K281" t="s">
        <v>30</v>
      </c>
    </row>
    <row r="282" spans="1:11" hidden="1" x14ac:dyDescent="0.3">
      <c r="A282">
        <v>2281</v>
      </c>
      <c r="B282" t="s">
        <v>90</v>
      </c>
      <c r="C282" t="s">
        <v>18</v>
      </c>
      <c r="D282" t="s">
        <v>39</v>
      </c>
      <c r="E282" t="s">
        <v>43</v>
      </c>
      <c r="F282" t="s">
        <v>49</v>
      </c>
      <c r="G282">
        <v>12</v>
      </c>
      <c r="H282">
        <v>1.5</v>
      </c>
      <c r="I282">
        <v>18.04</v>
      </c>
      <c r="J282" t="s">
        <v>15</v>
      </c>
      <c r="K282" t="s">
        <v>22</v>
      </c>
    </row>
    <row r="283" spans="1:11" hidden="1" x14ac:dyDescent="0.3">
      <c r="A283">
        <v>2282</v>
      </c>
      <c r="B283" t="s">
        <v>55</v>
      </c>
      <c r="C283" t="s">
        <v>11</v>
      </c>
      <c r="D283" t="s">
        <v>32</v>
      </c>
      <c r="E283" t="s">
        <v>13</v>
      </c>
      <c r="F283" t="s">
        <v>67</v>
      </c>
      <c r="G283">
        <v>35</v>
      </c>
      <c r="H283">
        <v>929.75</v>
      </c>
      <c r="I283">
        <v>32541.21</v>
      </c>
      <c r="J283" t="s">
        <v>29</v>
      </c>
      <c r="K283" t="s">
        <v>24</v>
      </c>
    </row>
    <row r="284" spans="1:11" hidden="1" x14ac:dyDescent="0.3">
      <c r="A284">
        <v>2283</v>
      </c>
      <c r="B284" t="s">
        <v>119</v>
      </c>
      <c r="C284" t="s">
        <v>26</v>
      </c>
      <c r="D284" t="s">
        <v>27</v>
      </c>
      <c r="E284" t="s">
        <v>20</v>
      </c>
      <c r="F284" t="s">
        <v>75</v>
      </c>
      <c r="G284">
        <v>30</v>
      </c>
      <c r="H284">
        <v>749.73</v>
      </c>
      <c r="I284">
        <v>22491.88</v>
      </c>
      <c r="J284" t="s">
        <v>15</v>
      </c>
      <c r="K284" t="s">
        <v>30</v>
      </c>
    </row>
    <row r="285" spans="1:11" hidden="1" x14ac:dyDescent="0.3">
      <c r="A285">
        <v>2284</v>
      </c>
      <c r="B285" t="s">
        <v>40</v>
      </c>
      <c r="C285" t="s">
        <v>18</v>
      </c>
      <c r="D285" t="s">
        <v>32</v>
      </c>
      <c r="E285" t="s">
        <v>20</v>
      </c>
      <c r="F285" t="s">
        <v>41</v>
      </c>
      <c r="G285">
        <v>42</v>
      </c>
      <c r="H285">
        <v>237.4</v>
      </c>
      <c r="I285">
        <v>9970.85</v>
      </c>
      <c r="J285" t="s">
        <v>29</v>
      </c>
      <c r="K285" t="s">
        <v>30</v>
      </c>
    </row>
    <row r="286" spans="1:11" hidden="1" x14ac:dyDescent="0.3">
      <c r="A286">
        <v>2053</v>
      </c>
      <c r="B286" t="s">
        <v>62</v>
      </c>
      <c r="C286" t="s">
        <v>31</v>
      </c>
      <c r="D286" t="s">
        <v>39</v>
      </c>
      <c r="E286" t="s">
        <v>43</v>
      </c>
      <c r="F286" t="s">
        <v>47</v>
      </c>
      <c r="G286">
        <v>4</v>
      </c>
      <c r="H286">
        <v>3.8</v>
      </c>
      <c r="I286">
        <v>15.19</v>
      </c>
      <c r="J286" t="s">
        <v>15</v>
      </c>
      <c r="K286" t="s">
        <v>22</v>
      </c>
    </row>
    <row r="287" spans="1:11" hidden="1" x14ac:dyDescent="0.3">
      <c r="A287">
        <v>2286</v>
      </c>
      <c r="B287" t="s">
        <v>56</v>
      </c>
      <c r="C287" t="s">
        <v>26</v>
      </c>
      <c r="D287" t="s">
        <v>12</v>
      </c>
      <c r="E287" t="s">
        <v>20</v>
      </c>
      <c r="F287" t="s">
        <v>21</v>
      </c>
      <c r="G287">
        <v>24</v>
      </c>
      <c r="H287">
        <v>214.09</v>
      </c>
      <c r="I287">
        <v>5138.2</v>
      </c>
      <c r="J287" t="s">
        <v>29</v>
      </c>
      <c r="K287" t="s">
        <v>16</v>
      </c>
    </row>
    <row r="288" spans="1:11" hidden="1" x14ac:dyDescent="0.3">
      <c r="A288">
        <v>2287</v>
      </c>
      <c r="B288" t="s">
        <v>53</v>
      </c>
      <c r="C288" t="s">
        <v>26</v>
      </c>
      <c r="D288" t="s">
        <v>57</v>
      </c>
      <c r="E288" t="s">
        <v>13</v>
      </c>
      <c r="F288" t="s">
        <v>67</v>
      </c>
      <c r="G288">
        <v>52</v>
      </c>
      <c r="H288">
        <v>898.37</v>
      </c>
      <c r="I288">
        <v>46715.48</v>
      </c>
      <c r="J288" t="s">
        <v>29</v>
      </c>
      <c r="K288" t="s">
        <v>16</v>
      </c>
    </row>
    <row r="289" spans="1:11" hidden="1" x14ac:dyDescent="0.3">
      <c r="A289">
        <v>2288</v>
      </c>
      <c r="B289" t="s">
        <v>109</v>
      </c>
      <c r="C289" t="s">
        <v>26</v>
      </c>
      <c r="D289" t="s">
        <v>57</v>
      </c>
      <c r="E289" t="s">
        <v>43</v>
      </c>
      <c r="F289" t="s">
        <v>44</v>
      </c>
      <c r="G289">
        <v>63</v>
      </c>
      <c r="H289">
        <v>8.0500000000000007</v>
      </c>
      <c r="I289">
        <v>507.03</v>
      </c>
      <c r="J289" t="s">
        <v>15</v>
      </c>
      <c r="K289" t="s">
        <v>16</v>
      </c>
    </row>
    <row r="290" spans="1:11" hidden="1" x14ac:dyDescent="0.3">
      <c r="A290">
        <v>2289</v>
      </c>
      <c r="B290" t="s">
        <v>70</v>
      </c>
      <c r="C290" t="s">
        <v>26</v>
      </c>
      <c r="D290" t="s">
        <v>46</v>
      </c>
      <c r="E290" t="s">
        <v>20</v>
      </c>
      <c r="F290" t="s">
        <v>21</v>
      </c>
      <c r="G290">
        <v>18</v>
      </c>
      <c r="H290">
        <v>196.71</v>
      </c>
      <c r="I290">
        <v>3540.75</v>
      </c>
      <c r="J290" t="s">
        <v>15</v>
      </c>
      <c r="K290" t="s">
        <v>22</v>
      </c>
    </row>
    <row r="291" spans="1:11" hidden="1" x14ac:dyDescent="0.3">
      <c r="A291">
        <v>2290</v>
      </c>
      <c r="B291" t="s">
        <v>69</v>
      </c>
      <c r="C291" t="s">
        <v>11</v>
      </c>
      <c r="D291" t="s">
        <v>57</v>
      </c>
      <c r="E291" t="s">
        <v>13</v>
      </c>
      <c r="F291" t="s">
        <v>67</v>
      </c>
      <c r="G291">
        <v>76</v>
      </c>
      <c r="H291">
        <v>837.45</v>
      </c>
      <c r="I291">
        <v>63646.29</v>
      </c>
      <c r="J291" t="s">
        <v>29</v>
      </c>
      <c r="K291" t="s">
        <v>22</v>
      </c>
    </row>
    <row r="292" spans="1:11" hidden="1" x14ac:dyDescent="0.3">
      <c r="A292">
        <v>2291</v>
      </c>
      <c r="B292" t="s">
        <v>94</v>
      </c>
      <c r="C292" t="s">
        <v>18</v>
      </c>
      <c r="D292" t="s">
        <v>46</v>
      </c>
      <c r="E292" t="s">
        <v>20</v>
      </c>
      <c r="F292" t="s">
        <v>21</v>
      </c>
      <c r="G292">
        <v>80</v>
      </c>
      <c r="H292">
        <v>218.78</v>
      </c>
      <c r="I292">
        <v>17502.18</v>
      </c>
      <c r="J292" t="s">
        <v>15</v>
      </c>
      <c r="K292" t="s">
        <v>16</v>
      </c>
    </row>
    <row r="293" spans="1:11" hidden="1" x14ac:dyDescent="0.3">
      <c r="A293">
        <v>2292</v>
      </c>
      <c r="B293" t="s">
        <v>128</v>
      </c>
      <c r="C293" t="s">
        <v>11</v>
      </c>
      <c r="D293" t="s">
        <v>27</v>
      </c>
      <c r="E293" t="s">
        <v>13</v>
      </c>
      <c r="F293" t="s">
        <v>81</v>
      </c>
      <c r="G293">
        <v>66</v>
      </c>
      <c r="H293">
        <v>188.79</v>
      </c>
      <c r="I293">
        <v>12460.29</v>
      </c>
      <c r="J293" t="s">
        <v>15</v>
      </c>
      <c r="K293" t="s">
        <v>24</v>
      </c>
    </row>
    <row r="294" spans="1:11" hidden="1" x14ac:dyDescent="0.3">
      <c r="A294">
        <v>2293</v>
      </c>
      <c r="B294" t="s">
        <v>91</v>
      </c>
      <c r="C294" t="s">
        <v>26</v>
      </c>
      <c r="D294" t="s">
        <v>12</v>
      </c>
      <c r="E294" t="s">
        <v>20</v>
      </c>
      <c r="F294" t="s">
        <v>33</v>
      </c>
      <c r="G294">
        <v>75</v>
      </c>
      <c r="H294">
        <v>113.2</v>
      </c>
      <c r="I294">
        <v>8489.64</v>
      </c>
      <c r="J294" t="s">
        <v>29</v>
      </c>
      <c r="K294" t="s">
        <v>22</v>
      </c>
    </row>
    <row r="295" spans="1:11" hidden="1" x14ac:dyDescent="0.3">
      <c r="A295">
        <v>2294</v>
      </c>
      <c r="B295" t="s">
        <v>97</v>
      </c>
      <c r="C295" t="s">
        <v>18</v>
      </c>
      <c r="D295" t="s">
        <v>12</v>
      </c>
      <c r="E295" t="s">
        <v>13</v>
      </c>
      <c r="F295" t="s">
        <v>86</v>
      </c>
      <c r="G295">
        <v>18</v>
      </c>
      <c r="H295">
        <v>63.98</v>
      </c>
      <c r="I295">
        <v>1151.6600000000001</v>
      </c>
      <c r="J295" t="s">
        <v>29</v>
      </c>
      <c r="K295" t="s">
        <v>30</v>
      </c>
    </row>
    <row r="296" spans="1:11" hidden="1" x14ac:dyDescent="0.3">
      <c r="A296">
        <v>2295</v>
      </c>
      <c r="B296" t="s">
        <v>69</v>
      </c>
      <c r="C296" t="s">
        <v>26</v>
      </c>
      <c r="D296" t="s">
        <v>27</v>
      </c>
      <c r="E296" t="s">
        <v>43</v>
      </c>
      <c r="F296" t="s">
        <v>64</v>
      </c>
      <c r="G296">
        <v>40</v>
      </c>
      <c r="H296">
        <v>3.11</v>
      </c>
      <c r="I296">
        <v>124.25</v>
      </c>
      <c r="J296" t="s">
        <v>29</v>
      </c>
      <c r="K296" t="s">
        <v>24</v>
      </c>
    </row>
    <row r="297" spans="1:11" hidden="1" x14ac:dyDescent="0.3">
      <c r="A297">
        <v>2296</v>
      </c>
      <c r="B297" t="s">
        <v>108</v>
      </c>
      <c r="C297" t="s">
        <v>11</v>
      </c>
      <c r="D297" t="s">
        <v>27</v>
      </c>
      <c r="E297" t="s">
        <v>13</v>
      </c>
      <c r="F297" t="s">
        <v>86</v>
      </c>
      <c r="G297">
        <v>29</v>
      </c>
      <c r="H297">
        <v>54.88</v>
      </c>
      <c r="I297">
        <v>1591.6</v>
      </c>
      <c r="J297" t="s">
        <v>15</v>
      </c>
      <c r="K297" t="s">
        <v>16</v>
      </c>
    </row>
    <row r="298" spans="1:11" hidden="1" x14ac:dyDescent="0.3">
      <c r="A298">
        <v>2297</v>
      </c>
      <c r="B298" t="s">
        <v>95</v>
      </c>
      <c r="C298" t="s">
        <v>11</v>
      </c>
      <c r="D298" t="s">
        <v>39</v>
      </c>
      <c r="E298" t="s">
        <v>20</v>
      </c>
      <c r="F298" t="s">
        <v>33</v>
      </c>
      <c r="G298">
        <v>74</v>
      </c>
      <c r="H298">
        <v>123.59</v>
      </c>
      <c r="I298">
        <v>9146.02</v>
      </c>
      <c r="J298" t="s">
        <v>29</v>
      </c>
      <c r="K298" t="s">
        <v>30</v>
      </c>
    </row>
    <row r="299" spans="1:11" hidden="1" x14ac:dyDescent="0.3">
      <c r="A299">
        <v>2018</v>
      </c>
      <c r="B299" t="s">
        <v>10</v>
      </c>
      <c r="C299" t="s">
        <v>31</v>
      </c>
      <c r="D299" t="s">
        <v>32</v>
      </c>
      <c r="E299" t="s">
        <v>43</v>
      </c>
      <c r="F299" t="s">
        <v>44</v>
      </c>
      <c r="G299">
        <v>1</v>
      </c>
      <c r="H299">
        <v>7.25</v>
      </c>
      <c r="I299">
        <v>7.25</v>
      </c>
      <c r="J299" t="s">
        <v>15</v>
      </c>
      <c r="K299" t="s">
        <v>24</v>
      </c>
    </row>
    <row r="300" spans="1:11" hidden="1" x14ac:dyDescent="0.3">
      <c r="A300">
        <v>2299</v>
      </c>
      <c r="B300" t="s">
        <v>71</v>
      </c>
      <c r="C300" t="s">
        <v>11</v>
      </c>
      <c r="D300" t="s">
        <v>32</v>
      </c>
      <c r="E300" t="s">
        <v>43</v>
      </c>
      <c r="F300" t="s">
        <v>49</v>
      </c>
      <c r="G300">
        <v>61</v>
      </c>
      <c r="H300">
        <v>1.56</v>
      </c>
      <c r="I300">
        <v>94.9</v>
      </c>
      <c r="J300" t="s">
        <v>29</v>
      </c>
      <c r="K300" t="s">
        <v>22</v>
      </c>
    </row>
    <row r="301" spans="1:11" hidden="1" x14ac:dyDescent="0.3">
      <c r="A301">
        <v>2300</v>
      </c>
      <c r="B301" t="s">
        <v>55</v>
      </c>
      <c r="C301" t="s">
        <v>26</v>
      </c>
      <c r="D301" t="s">
        <v>19</v>
      </c>
      <c r="E301" t="s">
        <v>20</v>
      </c>
      <c r="F301" t="s">
        <v>33</v>
      </c>
      <c r="G301">
        <v>70</v>
      </c>
      <c r="H301">
        <v>120</v>
      </c>
      <c r="I301">
        <v>8399.98</v>
      </c>
      <c r="J301" t="s">
        <v>29</v>
      </c>
      <c r="K301" t="s">
        <v>22</v>
      </c>
    </row>
  </sheetData>
  <autoFilter ref="A1:K301" xr:uid="{00000000-0001-0000-0000-000000000000}">
    <filterColumn colId="2">
      <filters>
        <filter val="East"/>
      </filters>
    </filterColumn>
    <filterColumn colId="9">
      <filters>
        <filter val="Business"/>
      </filters>
    </filterColumn>
    <sortState xmlns:xlrd2="http://schemas.microsoft.com/office/spreadsheetml/2017/richdata2" ref="A6:K299">
      <sortCondition descending="1" ref="I1:I301"/>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93D3C-3066-41D4-B540-2BEDA684B95A}">
  <dimension ref="A1"/>
  <sheetViews>
    <sheetView tabSelected="1" topLeftCell="A10" workbookViewId="0">
      <selection activeCell="J33" sqref="J33"/>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5709B-0C4A-4608-8CED-92B01A9811B7}">
  <dimension ref="A3:B12"/>
  <sheetViews>
    <sheetView workbookViewId="0">
      <selection activeCell="B3" sqref="B3"/>
    </sheetView>
  </sheetViews>
  <sheetFormatPr defaultRowHeight="14.4" x14ac:dyDescent="0.3"/>
  <cols>
    <col min="1" max="1" width="12.5546875" bestFit="1" customWidth="1"/>
    <col min="2" max="3" width="12.6640625" bestFit="1" customWidth="1"/>
  </cols>
  <sheetData>
    <row r="3" spans="1:2" x14ac:dyDescent="0.3">
      <c r="A3" s="1" t="s">
        <v>135</v>
      </c>
      <c r="B3" t="s">
        <v>137</v>
      </c>
    </row>
    <row r="4" spans="1:2" x14ac:dyDescent="0.3">
      <c r="A4" s="2" t="s">
        <v>12</v>
      </c>
      <c r="B4" s="3">
        <v>25</v>
      </c>
    </row>
    <row r="5" spans="1:2" x14ac:dyDescent="0.3">
      <c r="A5" s="2" t="s">
        <v>32</v>
      </c>
      <c r="B5" s="3">
        <v>25</v>
      </c>
    </row>
    <row r="6" spans="1:2" x14ac:dyDescent="0.3">
      <c r="A6" s="2" t="s">
        <v>19</v>
      </c>
      <c r="B6" s="3">
        <v>22</v>
      </c>
    </row>
    <row r="7" spans="1:2" x14ac:dyDescent="0.3">
      <c r="A7" s="2" t="s">
        <v>35</v>
      </c>
      <c r="B7" s="3">
        <v>21</v>
      </c>
    </row>
    <row r="8" spans="1:2" x14ac:dyDescent="0.3">
      <c r="A8" s="2" t="s">
        <v>39</v>
      </c>
      <c r="B8" s="3">
        <v>20</v>
      </c>
    </row>
    <row r="9" spans="1:2" x14ac:dyDescent="0.3">
      <c r="A9" s="2" t="s">
        <v>46</v>
      </c>
      <c r="B9" s="3">
        <v>18</v>
      </c>
    </row>
    <row r="10" spans="1:2" x14ac:dyDescent="0.3">
      <c r="A10" s="2" t="s">
        <v>57</v>
      </c>
      <c r="B10" s="3">
        <v>17</v>
      </c>
    </row>
    <row r="11" spans="1:2" x14ac:dyDescent="0.3">
      <c r="A11" s="2" t="s">
        <v>27</v>
      </c>
      <c r="B11" s="3">
        <v>13</v>
      </c>
    </row>
    <row r="12" spans="1:2" x14ac:dyDescent="0.3">
      <c r="A12" s="2" t="s">
        <v>136</v>
      </c>
      <c r="B12" s="3">
        <v>161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Sales_Data</vt:lpstr>
      <vt:lpstr>Case_1_Sales_Performance</vt:lpstr>
      <vt:lpstr>task 1 pivot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Kasaiah Antonio</cp:lastModifiedBy>
  <cp:revision/>
  <dcterms:created xsi:type="dcterms:W3CDTF">2026-04-07T23:51:41Z</dcterms:created>
  <dcterms:modified xsi:type="dcterms:W3CDTF">2026-04-10T18:58:44Z</dcterms:modified>
  <cp:category/>
  <cp:contentStatus/>
</cp:coreProperties>
</file>