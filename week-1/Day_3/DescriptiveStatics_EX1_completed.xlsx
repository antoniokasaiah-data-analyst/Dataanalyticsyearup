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ownloads\"/>
    </mc:Choice>
  </mc:AlternateContent>
  <xr:revisionPtr revIDLastSave="0" documentId="8_{7158B123-3F24-40E5-B861-B7E922AFCCB9}" xr6:coauthVersionLast="47" xr6:coauthVersionMax="47" xr10:uidLastSave="{00000000-0000-0000-0000-000000000000}"/>
  <bookViews>
    <workbookView xWindow="-132" yWindow="-132" windowWidth="23304" windowHeight="12504" firstSheet="1" activeTab="1" xr2:uid="{00000000-000D-0000-FFFF-FFFF00000000}"/>
  </bookViews>
  <sheets>
    <sheet name="Sales_Data" sheetId="1" r:id="rId1"/>
    <sheet name="Exercise" sheetId="2" r:id="rId2"/>
    <sheet name="Exercise_1a" sheetId="3" r:id="rId3"/>
    <sheet name="Exercise_1b" sheetId="4" r:id="rId4"/>
    <sheet name="Exercise_1c" sheetId="5" r:id="rId5"/>
    <sheet name="Exercise_1d" sheetId="6" r:id="rId6"/>
  </sheets>
  <definedNames>
    <definedName name="_xlnm._FilterDatabase" localSheetId="0" hidden="1">Sales_Data!$A$1:$H$22</definedName>
  </definedNames>
  <calcPr calcId="191028"/>
  <pivotCaches>
    <pivotCache cacheId="1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 r="C18" i="2" s="1"/>
  <c r="C14" i="2" l="1"/>
  <c r="C15" i="2"/>
  <c r="C16" i="2"/>
  <c r="C17" i="2"/>
</calcChain>
</file>

<file path=xl/sharedStrings.xml><?xml version="1.0" encoding="utf-8"?>
<sst xmlns="http://schemas.openxmlformats.org/spreadsheetml/2006/main" count="157" uniqueCount="73">
  <si>
    <t>Order_ID</t>
  </si>
  <si>
    <t>Region</t>
  </si>
  <si>
    <t>Sales_Rep</t>
  </si>
  <si>
    <t>Product_Category</t>
  </si>
  <si>
    <t>Units_Sold</t>
  </si>
  <si>
    <t>Unit_Price</t>
  </si>
  <si>
    <t>Revenue</t>
  </si>
  <si>
    <t>Customer_Rating</t>
  </si>
  <si>
    <t>North</t>
  </si>
  <si>
    <t>Adams</t>
  </si>
  <si>
    <t>Electronics</t>
  </si>
  <si>
    <t>South</t>
  </si>
  <si>
    <t>Brown</t>
  </si>
  <si>
    <t>Furniture</t>
  </si>
  <si>
    <t>East</t>
  </si>
  <si>
    <t>Chen</t>
  </si>
  <si>
    <t>West</t>
  </si>
  <si>
    <t>Diaz</t>
  </si>
  <si>
    <t>Office Supplies</t>
  </si>
  <si>
    <t>Business Analytics Exercise: Descriptive Statistics</t>
  </si>
  <si>
    <t>Scenario:</t>
  </si>
  <si>
    <t>You are a junior data analyst working for a retail company that sells electronics,</t>
  </si>
  <si>
    <t>furniture, and office supplies. Management wants to better understand sales</t>
  </si>
  <si>
    <t>performance across regions, product categories, and sales representatives.</t>
  </si>
  <si>
    <t>Your task is to use descriptive statistics in Excel to analyze the dataset and</t>
  </si>
  <si>
    <t>provide insights that help management make business decisions.</t>
  </si>
  <si>
    <t>Part 1: Descriptive Statistics</t>
  </si>
  <si>
    <t>Calculate the following for the Revenue column:</t>
  </si>
  <si>
    <t>Average Revenue</t>
  </si>
  <si>
    <t>Median Revenue</t>
  </si>
  <si>
    <t>Minimum Revenue</t>
  </si>
  <si>
    <t>Maximum Revenue</t>
  </si>
  <si>
    <t>Range of Revenue</t>
  </si>
  <si>
    <t>Standard Deviation of Revenue</t>
  </si>
  <si>
    <t>Part 2: Business Scenarios</t>
  </si>
  <si>
    <t>Scenario A – Regional Performance</t>
  </si>
  <si>
    <t>Management wants to know which region generates the highest revenue.</t>
  </si>
  <si>
    <t>1. Calculate the average revenue by region.</t>
  </si>
  <si>
    <t>2. Which region performs the best?</t>
  </si>
  <si>
    <t>3. What recommendation would you give management?</t>
  </si>
  <si>
    <t>Scenario B – Product Category Insights</t>
  </si>
  <si>
    <t>The company wants to understand which product category generates the most revenue.</t>
  </si>
  <si>
    <t>1. Calculate the average revenue for each product category.</t>
  </si>
  <si>
    <t>2. Which category performs best?</t>
  </si>
  <si>
    <t>3. Which category appears weakest?</t>
  </si>
  <si>
    <t>Scenario C – Sales Representative Performance</t>
  </si>
  <si>
    <t>Managers want to evaluate sales representative performance.</t>
  </si>
  <si>
    <t>1. Calculate the total or average revenue generated by each sales representative.</t>
  </si>
  <si>
    <t>2. Which representative performs best?</t>
  </si>
  <si>
    <t>3. What factors might explain the differences?</t>
  </si>
  <si>
    <t>Scenario D – Customer Satisfaction</t>
  </si>
  <si>
    <t>Customer ratings represent satisfaction scores from 1 to 5.</t>
  </si>
  <si>
    <t>1. Calculate the average customer rating.</t>
  </si>
  <si>
    <t>2. Identify the minimum and maximum ratings.</t>
  </si>
  <si>
    <t>3. What might management infer about customer satisfaction?</t>
  </si>
  <si>
    <t>Part 3: Interpretation</t>
  </si>
  <si>
    <t>Write a short summary (4–6 sentences) explaining the key insights</t>
  </si>
  <si>
    <t>you discovered from the descriptive statistics.</t>
  </si>
  <si>
    <t>Row Labels</t>
  </si>
  <si>
    <t>(blank)</t>
  </si>
  <si>
    <t>Grand Total</t>
  </si>
  <si>
    <t>Average of Revenue</t>
  </si>
  <si>
    <t>The West region has the highest revenue, recommend management to replicate the practices in the west region for underperforming regions like  the East region.</t>
  </si>
  <si>
    <t>Exercise1a</t>
  </si>
  <si>
    <t>Exercise1b</t>
  </si>
  <si>
    <t>Office supplies</t>
  </si>
  <si>
    <t>Exercise1c</t>
  </si>
  <si>
    <t>The region the sales representatives are in could explain the differences in averages.</t>
  </si>
  <si>
    <t>Average of Customer_Rating</t>
  </si>
  <si>
    <t xml:space="preserve">max: 4.9 </t>
  </si>
  <si>
    <t>min: 3.7</t>
  </si>
  <si>
    <t>Column Labels</t>
  </si>
  <si>
    <t>The regions that have the highest revenue also have the highest customer satisfaction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</si>
</sst>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3"/>
      <name val="Calibri"/>
      <family val="2"/>
      <scheme val="minor"/>
    </font>
  </fonts>
  <fills count="2">
    <fill>
      <patternFill patternType="none"/>
    </fill>
    <fill>
      <patternFill patternType="gray125"/>
    </fill>
  </fills>
  <borders count="2">
    <border>
      <left/>
      <right/>
      <top/>
      <bottom/>
      <diagonal/>
    </border>
    <border>
      <left/>
      <right/>
      <top/>
      <bottom style="medium">
        <color theme="4" tint="0.39997558519241921"/>
      </bottom>
      <diagonal/>
    </border>
  </borders>
  <cellStyleXfs count="2">
    <xf numFmtId="0" fontId="0" fillId="0" borderId="0"/>
    <xf numFmtId="0" fontId="1" fillId="0" borderId="1" applyNumberFormat="0" applyFill="0" applyAlignment="0" applyProtection="0"/>
  </cellStyleXfs>
  <cellXfs count="6">
    <xf numFmtId="0" fontId="0" fillId="0" borderId="0" xfId="0"/>
    <xf numFmtId="0" fontId="0" fillId="0" borderId="0" xfId="0" applyAlignment="1">
      <alignment horizontal="center"/>
    </xf>
    <xf numFmtId="0" fontId="1" fillId="0" borderId="1" xfId="1"/>
    <xf numFmtId="0" fontId="0" fillId="0" borderId="0" xfId="0" pivotButton="1"/>
    <xf numFmtId="0" fontId="0" fillId="0" borderId="0" xfId="0" applyAlignment="1">
      <alignment horizontal="left"/>
    </xf>
    <xf numFmtId="0" fontId="0" fillId="0" borderId="0" xfId="0" applyNumberFormat="1"/>
  </cellXfs>
  <cellStyles count="2">
    <cellStyle name="Heading 3" xfId="1" builtinId="1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9</xdr:col>
      <xdr:colOff>15240</xdr:colOff>
      <xdr:row>46</xdr:row>
      <xdr:rowOff>60960</xdr:rowOff>
    </xdr:from>
    <xdr:to>
      <xdr:col>18</xdr:col>
      <xdr:colOff>0</xdr:colOff>
      <xdr:row>54</xdr:row>
      <xdr:rowOff>7620</xdr:rowOff>
    </xdr:to>
    <xdr:sp macro="" textlink="">
      <xdr:nvSpPr>
        <xdr:cNvPr id="2" name="TextBox 1">
          <a:extLst>
            <a:ext uri="{FF2B5EF4-FFF2-40B4-BE49-F238E27FC236}">
              <a16:creationId xmlns:a16="http://schemas.microsoft.com/office/drawing/2014/main" id="{BB4E017A-98DF-E734-B6E5-E508786F0D5C}"/>
            </a:ext>
          </a:extLst>
        </xdr:cNvPr>
        <xdr:cNvSpPr txBox="1"/>
      </xdr:nvSpPr>
      <xdr:spPr>
        <a:xfrm>
          <a:off x="5532120" y="8473440"/>
          <a:ext cx="5471160"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Key Insights:</a:t>
          </a:r>
          <a:r>
            <a:rPr lang="en-US" sz="1100" baseline="0"/>
            <a:t> All categories are negatively or positively affected by the region there located in. With South and West regions being the best performing regions, this higher performance is reflected in other categories like furniture and sales representative. </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0.639400925924" createdVersion="8" refreshedVersion="8" minRefreshableVersion="3" recordCount="21" xr:uid="{37CF2B68-BA44-4CA9-831B-0131C10F301B}">
  <cacheSource type="worksheet">
    <worksheetSource ref="A1:H22" sheet="Sales_Data"/>
  </cacheSource>
  <cacheFields count="8">
    <cacheField name="Order_ID" numFmtId="0">
      <sharedItems containsString="0" containsBlank="1" containsNumber="1" containsInteger="1" minValue="1001" maxValue="1020" count="21">
        <n v="1003"/>
        <n v="1007"/>
        <n v="1011"/>
        <n v="1015"/>
        <n v="1019"/>
        <n v="1001"/>
        <n v="1005"/>
        <n v="1009"/>
        <n v="1013"/>
        <n v="1017"/>
        <n v="1002"/>
        <n v="1006"/>
        <n v="1010"/>
        <n v="1014"/>
        <n v="1018"/>
        <n v="1004"/>
        <n v="1008"/>
        <n v="1012"/>
        <n v="1016"/>
        <n v="1020"/>
        <m/>
      </sharedItems>
    </cacheField>
    <cacheField name="Region" numFmtId="0">
      <sharedItems containsBlank="1" count="5">
        <s v="East"/>
        <s v="North"/>
        <s v="South"/>
        <s v="West"/>
        <m/>
      </sharedItems>
    </cacheField>
    <cacheField name="Sales_Rep" numFmtId="0">
      <sharedItems containsBlank="1" count="5">
        <s v="Chen"/>
        <s v="Adams"/>
        <s v="Brown"/>
        <s v="Diaz"/>
        <m/>
      </sharedItems>
    </cacheField>
    <cacheField name="Product_Category" numFmtId="0">
      <sharedItems containsBlank="1" count="4">
        <s v="Electronics"/>
        <s v="Office Supplies"/>
        <s v="Furniture"/>
        <m/>
      </sharedItems>
    </cacheField>
    <cacheField name="Units_Sold" numFmtId="0">
      <sharedItems containsString="0" containsBlank="1" containsNumber="1" containsInteger="1" minValue="1" maxValue="30"/>
    </cacheField>
    <cacheField name="Unit_Price" numFmtId="0">
      <sharedItems containsString="0" containsBlank="1" containsNumber="1" containsInteger="1" minValue="21" maxValue="1200"/>
    </cacheField>
    <cacheField name="Revenue" numFmtId="0">
      <sharedItems containsSemiMixedTypes="0" containsString="0" containsNumber="1" containsInteger="1" minValue="330" maxValue="2700"/>
    </cacheField>
    <cacheField name="Customer_Rating" numFmtId="0">
      <sharedItems containsString="0" containsBlank="1" containsNumber="1" minValue="3.7" maxValue="4.9000000000000004" count="14">
        <n v="3.9"/>
        <n v="4.5999999999999996"/>
        <n v="4.3"/>
        <n v="4.0999999999999996"/>
        <n v="4.5"/>
        <n v="4.8"/>
        <n v="4.2"/>
        <n v="4.7"/>
        <n v="3.8"/>
        <n v="4"/>
        <n v="3.7"/>
        <n v="4.4000000000000004"/>
        <n v="4.900000000000000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x v="0"/>
    <x v="0"/>
    <n v="3"/>
    <n v="300"/>
    <n v="900"/>
    <x v="0"/>
  </r>
  <r>
    <x v="1"/>
    <x v="0"/>
    <x v="0"/>
    <x v="1"/>
    <n v="15"/>
    <n v="22"/>
    <n v="330"/>
    <x v="1"/>
  </r>
  <r>
    <x v="2"/>
    <x v="0"/>
    <x v="0"/>
    <x v="2"/>
    <n v="2"/>
    <n v="950"/>
    <n v="1900"/>
    <x v="2"/>
  </r>
  <r>
    <x v="3"/>
    <x v="0"/>
    <x v="0"/>
    <x v="0"/>
    <n v="5"/>
    <n v="305"/>
    <n v="1525"/>
    <x v="3"/>
  </r>
  <r>
    <x v="4"/>
    <x v="0"/>
    <x v="0"/>
    <x v="1"/>
    <n v="19"/>
    <n v="23"/>
    <n v="437"/>
    <x v="4"/>
  </r>
  <r>
    <x v="5"/>
    <x v="1"/>
    <x v="1"/>
    <x v="0"/>
    <n v="5"/>
    <n v="320"/>
    <n v="1600"/>
    <x v="4"/>
  </r>
  <r>
    <x v="6"/>
    <x v="1"/>
    <x v="1"/>
    <x v="2"/>
    <n v="1"/>
    <n v="1200"/>
    <n v="1200"/>
    <x v="3"/>
  </r>
  <r>
    <x v="7"/>
    <x v="1"/>
    <x v="1"/>
    <x v="1"/>
    <n v="18"/>
    <n v="24"/>
    <n v="432"/>
    <x v="5"/>
  </r>
  <r>
    <x v="8"/>
    <x v="1"/>
    <x v="1"/>
    <x v="0"/>
    <n v="7"/>
    <n v="315"/>
    <n v="2205"/>
    <x v="6"/>
  </r>
  <r>
    <x v="9"/>
    <x v="1"/>
    <x v="1"/>
    <x v="1"/>
    <n v="22"/>
    <n v="24"/>
    <n v="528"/>
    <x v="7"/>
  </r>
  <r>
    <x v="10"/>
    <x v="2"/>
    <x v="2"/>
    <x v="2"/>
    <n v="2"/>
    <n v="850"/>
    <n v="1700"/>
    <x v="6"/>
  </r>
  <r>
    <x v="11"/>
    <x v="2"/>
    <x v="2"/>
    <x v="0"/>
    <n v="4"/>
    <n v="310"/>
    <n v="1240"/>
    <x v="8"/>
  </r>
  <r>
    <x v="12"/>
    <x v="2"/>
    <x v="2"/>
    <x v="2"/>
    <n v="3"/>
    <n v="900"/>
    <n v="2700"/>
    <x v="9"/>
  </r>
  <r>
    <x v="13"/>
    <x v="2"/>
    <x v="2"/>
    <x v="1"/>
    <n v="30"/>
    <n v="21"/>
    <n v="630"/>
    <x v="1"/>
  </r>
  <r>
    <x v="14"/>
    <x v="2"/>
    <x v="2"/>
    <x v="0"/>
    <n v="3"/>
    <n v="299"/>
    <n v="897"/>
    <x v="10"/>
  </r>
  <r>
    <x v="15"/>
    <x v="3"/>
    <x v="3"/>
    <x v="1"/>
    <n v="20"/>
    <n v="25"/>
    <n v="500"/>
    <x v="7"/>
  </r>
  <r>
    <x v="16"/>
    <x v="3"/>
    <x v="3"/>
    <x v="0"/>
    <n v="6"/>
    <n v="295"/>
    <n v="1770"/>
    <x v="11"/>
  </r>
  <r>
    <x v="17"/>
    <x v="3"/>
    <x v="3"/>
    <x v="1"/>
    <n v="25"/>
    <n v="23"/>
    <n v="575"/>
    <x v="12"/>
  </r>
  <r>
    <x v="18"/>
    <x v="3"/>
    <x v="3"/>
    <x v="2"/>
    <n v="2"/>
    <n v="980"/>
    <n v="1960"/>
    <x v="0"/>
  </r>
  <r>
    <x v="19"/>
    <x v="3"/>
    <x v="3"/>
    <x v="0"/>
    <n v="8"/>
    <n v="310"/>
    <n v="2480"/>
    <x v="11"/>
  </r>
  <r>
    <x v="20"/>
    <x v="4"/>
    <x v="4"/>
    <x v="3"/>
    <m/>
    <m/>
    <n v="1220"/>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DEE87A-2C91-4AC6-A4F8-385BB239C421}"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8">
    <pivotField showAll="0"/>
    <pivotField axis="axisRow" showAll="0" sortType="descending">
      <items count="6">
        <item x="0"/>
        <item x="1"/>
        <item x="2"/>
        <item x="3"/>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1"/>
  </rowFields>
  <rowItems count="5">
    <i>
      <x v="3"/>
    </i>
    <i>
      <x v="2"/>
    </i>
    <i>
      <x v="1"/>
    </i>
    <i>
      <x/>
    </i>
    <i t="grand">
      <x/>
    </i>
  </rowItems>
  <colItems count="1">
    <i/>
  </colItems>
  <dataFields count="1">
    <dataField name="Average of Revenue" fld="6"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B0B470-56AE-4875-862E-E473EF00436A}"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8" firstHeaderRow="1" firstDataRow="2" firstDataCol="1"/>
  <pivotFields count="8">
    <pivotField showAll="0"/>
    <pivotField axis="axisCol" showAll="0">
      <items count="6">
        <item x="0"/>
        <item x="1"/>
        <item x="2"/>
        <item x="3"/>
        <item x="4"/>
        <item t="default"/>
      </items>
    </pivotField>
    <pivotField showAll="0"/>
    <pivotField axis="axisRow" showAll="0">
      <items count="5">
        <item x="0"/>
        <item x="2"/>
        <item x="1"/>
        <item h="1" x="3"/>
        <item t="default"/>
      </items>
    </pivotField>
    <pivotField showAll="0"/>
    <pivotField showAll="0"/>
    <pivotField dataField="1" showAll="0"/>
    <pivotField showAll="0"/>
  </pivotFields>
  <rowFields count="1">
    <field x="3"/>
  </rowFields>
  <rowItems count="4">
    <i>
      <x/>
    </i>
    <i>
      <x v="1"/>
    </i>
    <i>
      <x v="2"/>
    </i>
    <i t="grand">
      <x/>
    </i>
  </rowItems>
  <colFields count="1">
    <field x="1"/>
  </colFields>
  <colItems count="5">
    <i>
      <x/>
    </i>
    <i>
      <x v="1"/>
    </i>
    <i>
      <x v="2"/>
    </i>
    <i>
      <x v="3"/>
    </i>
    <i t="grand">
      <x/>
    </i>
  </colItems>
  <dataFields count="1">
    <dataField name="Average of Revenue" fld="6"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7563F8-61E0-41EB-80E8-20A6C2C7C515}"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8">
    <pivotField showAll="0"/>
    <pivotField showAll="0"/>
    <pivotField axis="axisRow" showAll="0">
      <items count="6">
        <item x="1"/>
        <item x="2"/>
        <item x="0"/>
        <item x="3"/>
        <item x="4"/>
        <item t="default"/>
      </items>
    </pivotField>
    <pivotField showAll="0"/>
    <pivotField showAll="0"/>
    <pivotField showAll="0"/>
    <pivotField dataField="1" showAll="0"/>
    <pivotField showAll="0"/>
  </pivotFields>
  <rowFields count="1">
    <field x="2"/>
  </rowFields>
  <rowItems count="6">
    <i>
      <x/>
    </i>
    <i>
      <x v="1"/>
    </i>
    <i>
      <x v="2"/>
    </i>
    <i>
      <x v="3"/>
    </i>
    <i>
      <x v="4"/>
    </i>
    <i t="grand">
      <x/>
    </i>
  </rowItems>
  <colItems count="1">
    <i/>
  </colItems>
  <dataFields count="1">
    <dataField name="Average of Revenue" fld="6"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608C4E-D09A-4B00-BD0F-F064B1B583F7}"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26" firstHeaderRow="1" firstDataRow="2" firstDataCol="1"/>
  <pivotFields count="8">
    <pivotField axis="axisRow" showAll="0" sortType="ascending">
      <items count="22">
        <item x="5"/>
        <item x="10"/>
        <item x="0"/>
        <item x="15"/>
        <item x="6"/>
        <item x="11"/>
        <item x="1"/>
        <item x="16"/>
        <item x="7"/>
        <item x="12"/>
        <item x="2"/>
        <item x="17"/>
        <item x="8"/>
        <item x="13"/>
        <item x="3"/>
        <item x="18"/>
        <item x="9"/>
        <item x="14"/>
        <item x="4"/>
        <item x="19"/>
        <item x="20"/>
        <item t="default"/>
      </items>
      <autoSortScope>
        <pivotArea dataOnly="0" outline="0" fieldPosition="0">
          <references count="1">
            <reference field="4294967294" count="1" selected="0">
              <x v="0"/>
            </reference>
          </references>
        </pivotArea>
      </autoSortScope>
    </pivotField>
    <pivotField axis="axisCol" showAll="0">
      <items count="6">
        <item x="0"/>
        <item x="1"/>
        <item x="2"/>
        <item x="3"/>
        <item x="4"/>
        <item t="default"/>
      </items>
    </pivotField>
    <pivotField showAll="0"/>
    <pivotField showAll="0"/>
    <pivotField showAll="0"/>
    <pivotField showAll="0"/>
    <pivotField showAll="0"/>
    <pivotField dataField="1" showAll="0">
      <items count="15">
        <item x="10"/>
        <item x="8"/>
        <item x="0"/>
        <item x="9"/>
        <item x="3"/>
        <item x="6"/>
        <item x="2"/>
        <item x="11"/>
        <item x="4"/>
        <item x="1"/>
        <item x="7"/>
        <item x="5"/>
        <item x="12"/>
        <item x="13"/>
        <item t="default"/>
      </items>
    </pivotField>
  </pivotFields>
  <rowFields count="1">
    <field x="0"/>
  </rowFields>
  <rowItems count="22">
    <i>
      <x v="20"/>
    </i>
    <i>
      <x v="17"/>
    </i>
    <i>
      <x v="5"/>
    </i>
    <i>
      <x v="2"/>
    </i>
    <i>
      <x v="15"/>
    </i>
    <i>
      <x v="9"/>
    </i>
    <i>
      <x v="4"/>
    </i>
    <i>
      <x v="14"/>
    </i>
    <i>
      <x v="12"/>
    </i>
    <i>
      <x v="1"/>
    </i>
    <i>
      <x v="10"/>
    </i>
    <i>
      <x v="7"/>
    </i>
    <i>
      <x v="19"/>
    </i>
    <i>
      <x/>
    </i>
    <i>
      <x v="18"/>
    </i>
    <i>
      <x v="6"/>
    </i>
    <i>
      <x v="13"/>
    </i>
    <i>
      <x v="16"/>
    </i>
    <i>
      <x v="3"/>
    </i>
    <i>
      <x v="8"/>
    </i>
    <i>
      <x v="11"/>
    </i>
    <i t="grand">
      <x/>
    </i>
  </rowItems>
  <colFields count="1">
    <field x="1"/>
  </colFields>
  <colItems count="6">
    <i>
      <x/>
    </i>
    <i>
      <x v="1"/>
    </i>
    <i>
      <x v="2"/>
    </i>
    <i>
      <x v="3"/>
    </i>
    <i>
      <x v="4"/>
    </i>
    <i t="grand">
      <x/>
    </i>
  </colItems>
  <dataFields count="1">
    <dataField name="Average of Customer_Rating"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workbookViewId="0">
      <selection sqref="A1:H22"/>
    </sheetView>
  </sheetViews>
  <sheetFormatPr defaultRowHeight="14.4" x14ac:dyDescent="0.3"/>
  <cols>
    <col min="1" max="1" width="9" bestFit="1" customWidth="1"/>
    <col min="2" max="2" width="7.109375" bestFit="1" customWidth="1"/>
    <col min="4" max="4" width="16.88671875" bestFit="1" customWidth="1"/>
    <col min="5" max="5" width="10.44140625" bestFit="1" customWidth="1"/>
    <col min="6" max="6" width="10.109375" bestFit="1" customWidth="1"/>
    <col min="7" max="7" width="8.88671875" bestFit="1" customWidth="1"/>
    <col min="8" max="8" width="16.33203125" bestFit="1" customWidth="1"/>
  </cols>
  <sheetData>
    <row r="1" spans="1:8" ht="24" customHeight="1" thickBot="1" x14ac:dyDescent="0.35">
      <c r="A1" s="2" t="s">
        <v>0</v>
      </c>
      <c r="B1" s="2" t="s">
        <v>1</v>
      </c>
      <c r="C1" s="2" t="s">
        <v>2</v>
      </c>
      <c r="D1" s="2" t="s">
        <v>3</v>
      </c>
      <c r="E1" s="2" t="s">
        <v>4</v>
      </c>
      <c r="F1" s="2" t="s">
        <v>5</v>
      </c>
      <c r="G1" s="2" t="s">
        <v>6</v>
      </c>
      <c r="H1" s="2" t="s">
        <v>7</v>
      </c>
    </row>
    <row r="2" spans="1:8" x14ac:dyDescent="0.3">
      <c r="A2" s="1">
        <v>1003</v>
      </c>
      <c r="B2" t="s">
        <v>14</v>
      </c>
      <c r="C2" t="s">
        <v>15</v>
      </c>
      <c r="D2" t="s">
        <v>10</v>
      </c>
      <c r="E2" s="1">
        <v>3</v>
      </c>
      <c r="F2">
        <v>300</v>
      </c>
      <c r="G2">
        <v>900</v>
      </c>
      <c r="H2" s="1">
        <v>3.9</v>
      </c>
    </row>
    <row r="3" spans="1:8" x14ac:dyDescent="0.3">
      <c r="A3" s="1">
        <v>1007</v>
      </c>
      <c r="B3" t="s">
        <v>14</v>
      </c>
      <c r="C3" t="s">
        <v>15</v>
      </c>
      <c r="D3" t="s">
        <v>18</v>
      </c>
      <c r="E3" s="1">
        <v>15</v>
      </c>
      <c r="F3">
        <v>22</v>
      </c>
      <c r="G3">
        <v>330</v>
      </c>
      <c r="H3" s="1">
        <v>4.5999999999999996</v>
      </c>
    </row>
    <row r="4" spans="1:8" x14ac:dyDescent="0.3">
      <c r="A4" s="1">
        <v>1011</v>
      </c>
      <c r="B4" t="s">
        <v>14</v>
      </c>
      <c r="C4" t="s">
        <v>15</v>
      </c>
      <c r="D4" t="s">
        <v>13</v>
      </c>
      <c r="E4" s="1">
        <v>2</v>
      </c>
      <c r="F4">
        <v>950</v>
      </c>
      <c r="G4">
        <v>1900</v>
      </c>
      <c r="H4" s="1">
        <v>4.3</v>
      </c>
    </row>
    <row r="5" spans="1:8" x14ac:dyDescent="0.3">
      <c r="A5" s="1">
        <v>1015</v>
      </c>
      <c r="B5" t="s">
        <v>14</v>
      </c>
      <c r="C5" t="s">
        <v>15</v>
      </c>
      <c r="D5" t="s">
        <v>10</v>
      </c>
      <c r="E5" s="1">
        <v>5</v>
      </c>
      <c r="F5">
        <v>305</v>
      </c>
      <c r="G5">
        <v>1525</v>
      </c>
      <c r="H5" s="1">
        <v>4.0999999999999996</v>
      </c>
    </row>
    <row r="6" spans="1:8" x14ac:dyDescent="0.3">
      <c r="A6" s="1">
        <v>1019</v>
      </c>
      <c r="B6" t="s">
        <v>14</v>
      </c>
      <c r="C6" t="s">
        <v>15</v>
      </c>
      <c r="D6" t="s">
        <v>18</v>
      </c>
      <c r="E6" s="1">
        <v>19</v>
      </c>
      <c r="F6">
        <v>23</v>
      </c>
      <c r="G6">
        <v>437</v>
      </c>
      <c r="H6" s="1">
        <v>4.5</v>
      </c>
    </row>
    <row r="7" spans="1:8" x14ac:dyDescent="0.3">
      <c r="A7" s="1">
        <v>1001</v>
      </c>
      <c r="B7" t="s">
        <v>8</v>
      </c>
      <c r="C7" t="s">
        <v>9</v>
      </c>
      <c r="D7" t="s">
        <v>10</v>
      </c>
      <c r="E7" s="1">
        <v>5</v>
      </c>
      <c r="F7">
        <v>320</v>
      </c>
      <c r="G7">
        <v>1600</v>
      </c>
      <c r="H7" s="1">
        <v>4.5</v>
      </c>
    </row>
    <row r="8" spans="1:8" x14ac:dyDescent="0.3">
      <c r="A8" s="1">
        <v>1005</v>
      </c>
      <c r="B8" t="s">
        <v>8</v>
      </c>
      <c r="C8" t="s">
        <v>9</v>
      </c>
      <c r="D8" t="s">
        <v>13</v>
      </c>
      <c r="E8" s="1">
        <v>1</v>
      </c>
      <c r="F8">
        <v>1200</v>
      </c>
      <c r="G8">
        <v>1200</v>
      </c>
      <c r="H8" s="1">
        <v>4.0999999999999996</v>
      </c>
    </row>
    <row r="9" spans="1:8" x14ac:dyDescent="0.3">
      <c r="A9" s="1">
        <v>1009</v>
      </c>
      <c r="B9" t="s">
        <v>8</v>
      </c>
      <c r="C9" t="s">
        <v>9</v>
      </c>
      <c r="D9" t="s">
        <v>18</v>
      </c>
      <c r="E9" s="1">
        <v>18</v>
      </c>
      <c r="F9">
        <v>24</v>
      </c>
      <c r="G9">
        <v>432</v>
      </c>
      <c r="H9" s="1">
        <v>4.8</v>
      </c>
    </row>
    <row r="10" spans="1:8" x14ac:dyDescent="0.3">
      <c r="A10" s="1">
        <v>1013</v>
      </c>
      <c r="B10" t="s">
        <v>8</v>
      </c>
      <c r="C10" t="s">
        <v>9</v>
      </c>
      <c r="D10" t="s">
        <v>10</v>
      </c>
      <c r="E10" s="1">
        <v>7</v>
      </c>
      <c r="F10">
        <v>315</v>
      </c>
      <c r="G10">
        <v>2205</v>
      </c>
      <c r="H10" s="1">
        <v>4.2</v>
      </c>
    </row>
    <row r="11" spans="1:8" x14ac:dyDescent="0.3">
      <c r="A11" s="1">
        <v>1017</v>
      </c>
      <c r="B11" t="s">
        <v>8</v>
      </c>
      <c r="C11" t="s">
        <v>9</v>
      </c>
      <c r="D11" t="s">
        <v>18</v>
      </c>
      <c r="E11" s="1">
        <v>22</v>
      </c>
      <c r="F11">
        <v>24</v>
      </c>
      <c r="G11">
        <v>528</v>
      </c>
      <c r="H11" s="1">
        <v>4.7</v>
      </c>
    </row>
    <row r="12" spans="1:8" x14ac:dyDescent="0.3">
      <c r="A12" s="1">
        <v>1002</v>
      </c>
      <c r="B12" t="s">
        <v>11</v>
      </c>
      <c r="C12" t="s">
        <v>12</v>
      </c>
      <c r="D12" t="s">
        <v>13</v>
      </c>
      <c r="E12" s="1">
        <v>2</v>
      </c>
      <c r="F12">
        <v>850</v>
      </c>
      <c r="G12">
        <v>1700</v>
      </c>
      <c r="H12" s="1">
        <v>4.2</v>
      </c>
    </row>
    <row r="13" spans="1:8" x14ac:dyDescent="0.3">
      <c r="A13" s="1">
        <v>1006</v>
      </c>
      <c r="B13" t="s">
        <v>11</v>
      </c>
      <c r="C13" t="s">
        <v>12</v>
      </c>
      <c r="D13" t="s">
        <v>10</v>
      </c>
      <c r="E13" s="1">
        <v>4</v>
      </c>
      <c r="F13">
        <v>310</v>
      </c>
      <c r="G13">
        <v>1240</v>
      </c>
      <c r="H13" s="1">
        <v>3.8</v>
      </c>
    </row>
    <row r="14" spans="1:8" x14ac:dyDescent="0.3">
      <c r="A14" s="1">
        <v>1010</v>
      </c>
      <c r="B14" t="s">
        <v>11</v>
      </c>
      <c r="C14" t="s">
        <v>12</v>
      </c>
      <c r="D14" t="s">
        <v>13</v>
      </c>
      <c r="E14" s="1">
        <v>3</v>
      </c>
      <c r="F14">
        <v>900</v>
      </c>
      <c r="G14">
        <v>2700</v>
      </c>
      <c r="H14" s="1">
        <v>4</v>
      </c>
    </row>
    <row r="15" spans="1:8" x14ac:dyDescent="0.3">
      <c r="A15" s="1">
        <v>1014</v>
      </c>
      <c r="B15" t="s">
        <v>11</v>
      </c>
      <c r="C15" t="s">
        <v>12</v>
      </c>
      <c r="D15" t="s">
        <v>18</v>
      </c>
      <c r="E15" s="1">
        <v>30</v>
      </c>
      <c r="F15">
        <v>21</v>
      </c>
      <c r="G15">
        <v>630</v>
      </c>
      <c r="H15" s="1">
        <v>4.5999999999999996</v>
      </c>
    </row>
    <row r="16" spans="1:8" x14ac:dyDescent="0.3">
      <c r="A16" s="1">
        <v>1018</v>
      </c>
      <c r="B16" t="s">
        <v>11</v>
      </c>
      <c r="C16" t="s">
        <v>12</v>
      </c>
      <c r="D16" t="s">
        <v>10</v>
      </c>
      <c r="E16" s="1">
        <v>3</v>
      </c>
      <c r="F16">
        <v>299</v>
      </c>
      <c r="G16">
        <v>897</v>
      </c>
      <c r="H16" s="1">
        <v>3.7</v>
      </c>
    </row>
    <row r="17" spans="1:8" x14ac:dyDescent="0.3">
      <c r="A17" s="1">
        <v>1004</v>
      </c>
      <c r="B17" t="s">
        <v>16</v>
      </c>
      <c r="C17" t="s">
        <v>17</v>
      </c>
      <c r="D17" t="s">
        <v>18</v>
      </c>
      <c r="E17" s="1">
        <v>20</v>
      </c>
      <c r="F17">
        <v>25</v>
      </c>
      <c r="G17">
        <v>500</v>
      </c>
      <c r="H17" s="1">
        <v>4.7</v>
      </c>
    </row>
    <row r="18" spans="1:8" x14ac:dyDescent="0.3">
      <c r="A18" s="1">
        <v>1008</v>
      </c>
      <c r="B18" t="s">
        <v>16</v>
      </c>
      <c r="C18" t="s">
        <v>17</v>
      </c>
      <c r="D18" t="s">
        <v>10</v>
      </c>
      <c r="E18" s="1">
        <v>6</v>
      </c>
      <c r="F18">
        <v>295</v>
      </c>
      <c r="G18">
        <v>1770</v>
      </c>
      <c r="H18" s="1">
        <v>4.4000000000000004</v>
      </c>
    </row>
    <row r="19" spans="1:8" x14ac:dyDescent="0.3">
      <c r="A19" s="1">
        <v>1012</v>
      </c>
      <c r="B19" t="s">
        <v>16</v>
      </c>
      <c r="C19" t="s">
        <v>17</v>
      </c>
      <c r="D19" t="s">
        <v>18</v>
      </c>
      <c r="E19" s="1">
        <v>25</v>
      </c>
      <c r="F19">
        <v>23</v>
      </c>
      <c r="G19">
        <v>575</v>
      </c>
      <c r="H19" s="1">
        <v>4.9000000000000004</v>
      </c>
    </row>
    <row r="20" spans="1:8" x14ac:dyDescent="0.3">
      <c r="A20" s="1">
        <v>1016</v>
      </c>
      <c r="B20" t="s">
        <v>16</v>
      </c>
      <c r="C20" t="s">
        <v>17</v>
      </c>
      <c r="D20" t="s">
        <v>13</v>
      </c>
      <c r="E20" s="1">
        <v>2</v>
      </c>
      <c r="F20">
        <v>980</v>
      </c>
      <c r="G20">
        <v>1960</v>
      </c>
      <c r="H20" s="1">
        <v>3.9</v>
      </c>
    </row>
    <row r="21" spans="1:8" x14ac:dyDescent="0.3">
      <c r="A21" s="1">
        <v>1020</v>
      </c>
      <c r="B21" t="s">
        <v>16</v>
      </c>
      <c r="C21" t="s">
        <v>17</v>
      </c>
      <c r="D21" t="s">
        <v>10</v>
      </c>
      <c r="E21" s="1">
        <v>8</v>
      </c>
      <c r="F21">
        <v>310</v>
      </c>
      <c r="G21">
        <v>2480</v>
      </c>
      <c r="H21" s="1">
        <v>4.4000000000000004</v>
      </c>
    </row>
    <row r="22" spans="1:8" x14ac:dyDescent="0.3">
      <c r="G22">
        <f>MEDIAN(G2:G21)</f>
        <v>1220</v>
      </c>
    </row>
  </sheetData>
  <autoFilter ref="A1:H22" xr:uid="{00000000-0001-0000-0000-000000000000}">
    <sortState xmlns:xlrd2="http://schemas.microsoft.com/office/spreadsheetml/2017/richdata2" ref="A2:H22">
      <sortCondition ref="B1:B22"/>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8"/>
  <sheetViews>
    <sheetView tabSelected="1" topLeftCell="A25" workbookViewId="0">
      <selection activeCell="J47" sqref="J47"/>
    </sheetView>
  </sheetViews>
  <sheetFormatPr defaultRowHeight="14.4" x14ac:dyDescent="0.3"/>
  <cols>
    <col min="1" max="1" width="9.33203125" customWidth="1"/>
  </cols>
  <sheetData>
    <row r="1" spans="1:3" x14ac:dyDescent="0.3">
      <c r="A1" t="s">
        <v>19</v>
      </c>
    </row>
    <row r="3" spans="1:3" x14ac:dyDescent="0.3">
      <c r="A3" t="s">
        <v>20</v>
      </c>
    </row>
    <row r="4" spans="1:3" x14ac:dyDescent="0.3">
      <c r="A4" t="s">
        <v>21</v>
      </c>
    </row>
    <row r="5" spans="1:3" x14ac:dyDescent="0.3">
      <c r="A5" t="s">
        <v>22</v>
      </c>
    </row>
    <row r="6" spans="1:3" x14ac:dyDescent="0.3">
      <c r="A6" t="s">
        <v>23</v>
      </c>
    </row>
    <row r="8" spans="1:3" x14ac:dyDescent="0.3">
      <c r="A8" t="s">
        <v>24</v>
      </c>
    </row>
    <row r="9" spans="1:3" x14ac:dyDescent="0.3">
      <c r="A9" t="s">
        <v>25</v>
      </c>
    </row>
    <row r="11" spans="1:3" x14ac:dyDescent="0.3">
      <c r="A11" t="s">
        <v>26</v>
      </c>
    </row>
    <row r="12" spans="1:3" x14ac:dyDescent="0.3">
      <c r="A12" t="s">
        <v>27</v>
      </c>
    </row>
    <row r="13" spans="1:3" x14ac:dyDescent="0.3">
      <c r="A13" t="s">
        <v>28</v>
      </c>
      <c r="C13">
        <v>1275.45</v>
      </c>
    </row>
    <row r="14" spans="1:3" x14ac:dyDescent="0.3">
      <c r="A14" t="s">
        <v>29</v>
      </c>
      <c r="C14">
        <f>MEDIAN(Sales_Data!G2:G22)</f>
        <v>1220</v>
      </c>
    </row>
    <row r="15" spans="1:3" x14ac:dyDescent="0.3">
      <c r="A15" t="s">
        <v>30</v>
      </c>
      <c r="C15">
        <f>MIN(Sales_Data!G2:G22)</f>
        <v>330</v>
      </c>
    </row>
    <row r="16" spans="1:3" x14ac:dyDescent="0.3">
      <c r="A16" t="s">
        <v>31</v>
      </c>
      <c r="C16">
        <f>MAX(Sales_Data!G2:G22)</f>
        <v>2700</v>
      </c>
    </row>
    <row r="17" spans="1:10" x14ac:dyDescent="0.3">
      <c r="A17" t="s">
        <v>32</v>
      </c>
      <c r="C17">
        <f>MAX(Sales_Data!G2:G22)-MIN(Sales_Data!G2:G22)</f>
        <v>2370</v>
      </c>
    </row>
    <row r="18" spans="1:10" x14ac:dyDescent="0.3">
      <c r="A18" t="s">
        <v>33</v>
      </c>
      <c r="C18">
        <f>_xlfn.STDEV.P(Sales_Data!G2:G22)</f>
        <v>705.92847466146918</v>
      </c>
    </row>
    <row r="20" spans="1:10" x14ac:dyDescent="0.3">
      <c r="A20" t="s">
        <v>34</v>
      </c>
    </row>
    <row r="22" spans="1:10" x14ac:dyDescent="0.3">
      <c r="A22" t="s">
        <v>35</v>
      </c>
    </row>
    <row r="23" spans="1:10" x14ac:dyDescent="0.3">
      <c r="A23" t="s">
        <v>36</v>
      </c>
    </row>
    <row r="24" spans="1:10" x14ac:dyDescent="0.3">
      <c r="A24" t="s">
        <v>37</v>
      </c>
      <c r="J24" t="s">
        <v>63</v>
      </c>
    </row>
    <row r="25" spans="1:10" x14ac:dyDescent="0.3">
      <c r="A25" t="s">
        <v>38</v>
      </c>
      <c r="J25" t="s">
        <v>16</v>
      </c>
    </row>
    <row r="26" spans="1:10" x14ac:dyDescent="0.3">
      <c r="A26" t="s">
        <v>39</v>
      </c>
      <c r="J26" t="s">
        <v>62</v>
      </c>
    </row>
    <row r="28" spans="1:10" x14ac:dyDescent="0.3">
      <c r="A28" t="s">
        <v>40</v>
      </c>
    </row>
    <row r="29" spans="1:10" x14ac:dyDescent="0.3">
      <c r="A29" t="s">
        <v>41</v>
      </c>
    </row>
    <row r="30" spans="1:10" x14ac:dyDescent="0.3">
      <c r="A30" t="s">
        <v>42</v>
      </c>
      <c r="J30" t="s">
        <v>64</v>
      </c>
    </row>
    <row r="31" spans="1:10" x14ac:dyDescent="0.3">
      <c r="A31" t="s">
        <v>43</v>
      </c>
      <c r="J31" t="s">
        <v>13</v>
      </c>
    </row>
    <row r="32" spans="1:10" x14ac:dyDescent="0.3">
      <c r="A32" t="s">
        <v>44</v>
      </c>
      <c r="J32" t="s">
        <v>65</v>
      </c>
    </row>
    <row r="34" spans="1:11" x14ac:dyDescent="0.3">
      <c r="A34" t="s">
        <v>45</v>
      </c>
    </row>
    <row r="35" spans="1:11" x14ac:dyDescent="0.3">
      <c r="A35" t="s">
        <v>46</v>
      </c>
    </row>
    <row r="36" spans="1:11" x14ac:dyDescent="0.3">
      <c r="A36" t="s">
        <v>47</v>
      </c>
      <c r="J36" t="s">
        <v>66</v>
      </c>
    </row>
    <row r="37" spans="1:11" x14ac:dyDescent="0.3">
      <c r="A37" t="s">
        <v>48</v>
      </c>
      <c r="J37" t="s">
        <v>17</v>
      </c>
    </row>
    <row r="38" spans="1:11" x14ac:dyDescent="0.3">
      <c r="A38" t="s">
        <v>49</v>
      </c>
      <c r="J38" t="s">
        <v>67</v>
      </c>
    </row>
    <row r="40" spans="1:11" x14ac:dyDescent="0.3">
      <c r="A40" t="s">
        <v>50</v>
      </c>
    </row>
    <row r="41" spans="1:11" x14ac:dyDescent="0.3">
      <c r="A41" t="s">
        <v>51</v>
      </c>
    </row>
    <row r="42" spans="1:11" x14ac:dyDescent="0.3">
      <c r="A42" t="s">
        <v>52</v>
      </c>
      <c r="J42">
        <v>4.3150000000000004</v>
      </c>
    </row>
    <row r="43" spans="1:11" x14ac:dyDescent="0.3">
      <c r="A43" t="s">
        <v>53</v>
      </c>
      <c r="J43" t="s">
        <v>69</v>
      </c>
      <c r="K43" t="s">
        <v>70</v>
      </c>
    </row>
    <row r="44" spans="1:11" x14ac:dyDescent="0.3">
      <c r="A44" t="s">
        <v>54</v>
      </c>
      <c r="J44" t="s">
        <v>72</v>
      </c>
    </row>
    <row r="46" spans="1:11" x14ac:dyDescent="0.3">
      <c r="A46" t="s">
        <v>55</v>
      </c>
    </row>
    <row r="47" spans="1:11" x14ac:dyDescent="0.3">
      <c r="A47" t="s">
        <v>56</v>
      </c>
    </row>
    <row r="48" spans="1:11" x14ac:dyDescent="0.3">
      <c r="A48" t="s">
        <v>57</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3CED4-D68D-4A70-934A-9BCABF73CB5F}">
  <dimension ref="A3:B8"/>
  <sheetViews>
    <sheetView workbookViewId="0">
      <selection activeCell="B4" sqref="B4:B7"/>
    </sheetView>
  </sheetViews>
  <sheetFormatPr defaultRowHeight="14.4" x14ac:dyDescent="0.3"/>
  <cols>
    <col min="1" max="1" width="12.5546875" bestFit="1" customWidth="1"/>
    <col min="2" max="2" width="18.109375" bestFit="1" customWidth="1"/>
  </cols>
  <sheetData>
    <row r="3" spans="1:2" x14ac:dyDescent="0.3">
      <c r="A3" s="3" t="s">
        <v>58</v>
      </c>
      <c r="B3" t="s">
        <v>61</v>
      </c>
    </row>
    <row r="4" spans="1:2" x14ac:dyDescent="0.3">
      <c r="A4" s="4" t="s">
        <v>16</v>
      </c>
      <c r="B4" s="5">
        <v>1457</v>
      </c>
    </row>
    <row r="5" spans="1:2" x14ac:dyDescent="0.3">
      <c r="A5" s="4" t="s">
        <v>11</v>
      </c>
      <c r="B5" s="5">
        <v>1433.4</v>
      </c>
    </row>
    <row r="6" spans="1:2" x14ac:dyDescent="0.3">
      <c r="A6" s="4" t="s">
        <v>8</v>
      </c>
      <c r="B6" s="5">
        <v>1193</v>
      </c>
    </row>
    <row r="7" spans="1:2" x14ac:dyDescent="0.3">
      <c r="A7" s="4" t="s">
        <v>14</v>
      </c>
      <c r="B7" s="5">
        <v>1018.4</v>
      </c>
    </row>
    <row r="8" spans="1:2" x14ac:dyDescent="0.3">
      <c r="A8" s="4" t="s">
        <v>60</v>
      </c>
      <c r="B8" s="5">
        <v>1275.45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15F50-24A3-4F73-B562-C82048631C34}">
  <dimension ref="A3:F8"/>
  <sheetViews>
    <sheetView workbookViewId="0">
      <selection activeCell="B4" sqref="B4"/>
    </sheetView>
  </sheetViews>
  <sheetFormatPr defaultRowHeight="14.4" x14ac:dyDescent="0.3"/>
  <cols>
    <col min="1" max="1" width="18.109375" bestFit="1" customWidth="1"/>
    <col min="2" max="2" width="15.5546875" bestFit="1" customWidth="1"/>
    <col min="3" max="4" width="7" bestFit="1" customWidth="1"/>
    <col min="5" max="5" width="6" bestFit="1" customWidth="1"/>
    <col min="6" max="6" width="12" bestFit="1" customWidth="1"/>
  </cols>
  <sheetData>
    <row r="3" spans="1:6" x14ac:dyDescent="0.3">
      <c r="A3" s="3" t="s">
        <v>61</v>
      </c>
      <c r="B3" s="3" t="s">
        <v>71</v>
      </c>
    </row>
    <row r="4" spans="1:6" x14ac:dyDescent="0.3">
      <c r="A4" s="3" t="s">
        <v>58</v>
      </c>
      <c r="B4" t="s">
        <v>14</v>
      </c>
      <c r="C4" t="s">
        <v>8</v>
      </c>
      <c r="D4" t="s">
        <v>11</v>
      </c>
      <c r="E4" t="s">
        <v>16</v>
      </c>
      <c r="F4" t="s">
        <v>60</v>
      </c>
    </row>
    <row r="5" spans="1:6" x14ac:dyDescent="0.3">
      <c r="A5" s="4" t="s">
        <v>10</v>
      </c>
      <c r="B5" s="5">
        <v>1212.5</v>
      </c>
      <c r="C5" s="5">
        <v>1902.5</v>
      </c>
      <c r="D5" s="5">
        <v>1068.5</v>
      </c>
      <c r="E5" s="5">
        <v>2125</v>
      </c>
      <c r="F5" s="5">
        <v>1577.125</v>
      </c>
    </row>
    <row r="6" spans="1:6" x14ac:dyDescent="0.3">
      <c r="A6" s="4" t="s">
        <v>13</v>
      </c>
      <c r="B6" s="5">
        <v>1900</v>
      </c>
      <c r="C6" s="5">
        <v>1200</v>
      </c>
      <c r="D6" s="5">
        <v>2200</v>
      </c>
      <c r="E6" s="5">
        <v>1960</v>
      </c>
      <c r="F6" s="5">
        <v>1892</v>
      </c>
    </row>
    <row r="7" spans="1:6" x14ac:dyDescent="0.3">
      <c r="A7" s="4" t="s">
        <v>18</v>
      </c>
      <c r="B7" s="5">
        <v>383.5</v>
      </c>
      <c r="C7" s="5">
        <v>480</v>
      </c>
      <c r="D7" s="5">
        <v>630</v>
      </c>
      <c r="E7" s="5">
        <v>537.5</v>
      </c>
      <c r="F7" s="5">
        <v>490.28571428571428</v>
      </c>
    </row>
    <row r="8" spans="1:6" x14ac:dyDescent="0.3">
      <c r="A8" s="4" t="s">
        <v>60</v>
      </c>
      <c r="B8" s="5">
        <v>1018.4</v>
      </c>
      <c r="C8" s="5">
        <v>1193</v>
      </c>
      <c r="D8" s="5">
        <v>1433.4</v>
      </c>
      <c r="E8" s="5">
        <v>1457</v>
      </c>
      <c r="F8" s="5">
        <v>1275.45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BDBD9-0000-43FA-9CBE-485D3C489512}">
  <dimension ref="A3:B9"/>
  <sheetViews>
    <sheetView workbookViewId="0">
      <selection activeCell="C5" sqref="C5"/>
    </sheetView>
  </sheetViews>
  <sheetFormatPr defaultRowHeight="14.4" x14ac:dyDescent="0.3"/>
  <cols>
    <col min="1" max="1" width="12.5546875" bestFit="1" customWidth="1"/>
    <col min="2" max="2" width="18.109375" bestFit="1" customWidth="1"/>
  </cols>
  <sheetData>
    <row r="3" spans="1:2" x14ac:dyDescent="0.3">
      <c r="A3" s="3" t="s">
        <v>58</v>
      </c>
      <c r="B3" t="s">
        <v>61</v>
      </c>
    </row>
    <row r="4" spans="1:2" x14ac:dyDescent="0.3">
      <c r="A4" s="4" t="s">
        <v>9</v>
      </c>
      <c r="B4" s="5">
        <v>1193</v>
      </c>
    </row>
    <row r="5" spans="1:2" x14ac:dyDescent="0.3">
      <c r="A5" s="4" t="s">
        <v>12</v>
      </c>
      <c r="B5" s="5">
        <v>1433.4</v>
      </c>
    </row>
    <row r="6" spans="1:2" x14ac:dyDescent="0.3">
      <c r="A6" s="4" t="s">
        <v>15</v>
      </c>
      <c r="B6" s="5">
        <v>1018.4</v>
      </c>
    </row>
    <row r="7" spans="1:2" x14ac:dyDescent="0.3">
      <c r="A7" s="4" t="s">
        <v>17</v>
      </c>
      <c r="B7" s="5">
        <v>1457</v>
      </c>
    </row>
    <row r="8" spans="1:2" x14ac:dyDescent="0.3">
      <c r="A8" s="4" t="s">
        <v>59</v>
      </c>
      <c r="B8" s="5">
        <v>1220</v>
      </c>
    </row>
    <row r="9" spans="1:2" x14ac:dyDescent="0.3">
      <c r="A9" s="4" t="s">
        <v>60</v>
      </c>
      <c r="B9" s="5">
        <v>1272.8095238095239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BD335-2232-4AE7-BCAA-59DC04A8C9F8}">
  <dimension ref="A3:G26"/>
  <sheetViews>
    <sheetView workbookViewId="0">
      <selection activeCell="B18" sqref="B18"/>
    </sheetView>
  </sheetViews>
  <sheetFormatPr defaultRowHeight="14.4" x14ac:dyDescent="0.3"/>
  <cols>
    <col min="1" max="1" width="25.44140625" bestFit="1" customWidth="1"/>
    <col min="2" max="2" width="15.5546875" bestFit="1" customWidth="1"/>
    <col min="3" max="3" width="5.88671875" bestFit="1" customWidth="1"/>
    <col min="4" max="4" width="6" bestFit="1" customWidth="1"/>
    <col min="5" max="5" width="5.21875" bestFit="1" customWidth="1"/>
    <col min="6" max="6" width="7" bestFit="1" customWidth="1"/>
    <col min="7" max="7" width="10.77734375" bestFit="1" customWidth="1"/>
  </cols>
  <sheetData>
    <row r="3" spans="1:7" x14ac:dyDescent="0.3">
      <c r="A3" s="3" t="s">
        <v>68</v>
      </c>
      <c r="B3" s="3" t="s">
        <v>71</v>
      </c>
    </row>
    <row r="4" spans="1:7" x14ac:dyDescent="0.3">
      <c r="A4" s="3" t="s">
        <v>58</v>
      </c>
      <c r="B4" t="s">
        <v>14</v>
      </c>
      <c r="C4" t="s">
        <v>8</v>
      </c>
      <c r="D4" t="s">
        <v>11</v>
      </c>
      <c r="E4" t="s">
        <v>16</v>
      </c>
      <c r="F4" t="s">
        <v>59</v>
      </c>
      <c r="G4" t="s">
        <v>60</v>
      </c>
    </row>
    <row r="5" spans="1:7" x14ac:dyDescent="0.3">
      <c r="A5" s="4" t="s">
        <v>59</v>
      </c>
      <c r="B5" s="5"/>
      <c r="C5" s="5"/>
      <c r="D5" s="5"/>
      <c r="E5" s="5"/>
      <c r="F5" s="5"/>
      <c r="G5" s="5"/>
    </row>
    <row r="6" spans="1:7" x14ac:dyDescent="0.3">
      <c r="A6" s="4">
        <v>1018</v>
      </c>
      <c r="B6" s="5"/>
      <c r="C6" s="5"/>
      <c r="D6" s="5">
        <v>3.7</v>
      </c>
      <c r="E6" s="5"/>
      <c r="F6" s="5"/>
      <c r="G6" s="5">
        <v>3.7</v>
      </c>
    </row>
    <row r="7" spans="1:7" x14ac:dyDescent="0.3">
      <c r="A7" s="4">
        <v>1006</v>
      </c>
      <c r="B7" s="5"/>
      <c r="C7" s="5"/>
      <c r="D7" s="5">
        <v>3.8</v>
      </c>
      <c r="E7" s="5"/>
      <c r="F7" s="5"/>
      <c r="G7" s="5">
        <v>3.8</v>
      </c>
    </row>
    <row r="8" spans="1:7" x14ac:dyDescent="0.3">
      <c r="A8" s="4">
        <v>1003</v>
      </c>
      <c r="B8" s="5">
        <v>3.9</v>
      </c>
      <c r="C8" s="5"/>
      <c r="D8" s="5"/>
      <c r="E8" s="5"/>
      <c r="F8" s="5"/>
      <c r="G8" s="5">
        <v>3.9</v>
      </c>
    </row>
    <row r="9" spans="1:7" x14ac:dyDescent="0.3">
      <c r="A9" s="4">
        <v>1016</v>
      </c>
      <c r="B9" s="5"/>
      <c r="C9" s="5"/>
      <c r="D9" s="5"/>
      <c r="E9" s="5">
        <v>3.9</v>
      </c>
      <c r="F9" s="5"/>
      <c r="G9" s="5">
        <v>3.9</v>
      </c>
    </row>
    <row r="10" spans="1:7" x14ac:dyDescent="0.3">
      <c r="A10" s="4">
        <v>1010</v>
      </c>
      <c r="B10" s="5"/>
      <c r="C10" s="5"/>
      <c r="D10" s="5">
        <v>4</v>
      </c>
      <c r="E10" s="5"/>
      <c r="F10" s="5"/>
      <c r="G10" s="5">
        <v>4</v>
      </c>
    </row>
    <row r="11" spans="1:7" x14ac:dyDescent="0.3">
      <c r="A11" s="4">
        <v>1005</v>
      </c>
      <c r="B11" s="5"/>
      <c r="C11" s="5">
        <v>4.0999999999999996</v>
      </c>
      <c r="D11" s="5"/>
      <c r="E11" s="5"/>
      <c r="F11" s="5"/>
      <c r="G11" s="5">
        <v>4.0999999999999996</v>
      </c>
    </row>
    <row r="12" spans="1:7" x14ac:dyDescent="0.3">
      <c r="A12" s="4">
        <v>1015</v>
      </c>
      <c r="B12" s="5">
        <v>4.0999999999999996</v>
      </c>
      <c r="C12" s="5"/>
      <c r="D12" s="5"/>
      <c r="E12" s="5"/>
      <c r="F12" s="5"/>
      <c r="G12" s="5">
        <v>4.0999999999999996</v>
      </c>
    </row>
    <row r="13" spans="1:7" x14ac:dyDescent="0.3">
      <c r="A13" s="4">
        <v>1013</v>
      </c>
      <c r="B13" s="5"/>
      <c r="C13" s="5">
        <v>4.2</v>
      </c>
      <c r="D13" s="5"/>
      <c r="E13" s="5"/>
      <c r="F13" s="5"/>
      <c r="G13" s="5">
        <v>4.2</v>
      </c>
    </row>
    <row r="14" spans="1:7" x14ac:dyDescent="0.3">
      <c r="A14" s="4">
        <v>1002</v>
      </c>
      <c r="B14" s="5"/>
      <c r="C14" s="5"/>
      <c r="D14" s="5">
        <v>4.2</v>
      </c>
      <c r="E14" s="5"/>
      <c r="F14" s="5"/>
      <c r="G14" s="5">
        <v>4.2</v>
      </c>
    </row>
    <row r="15" spans="1:7" x14ac:dyDescent="0.3">
      <c r="A15" s="4">
        <v>1011</v>
      </c>
      <c r="B15" s="5">
        <v>4.3</v>
      </c>
      <c r="C15" s="5"/>
      <c r="D15" s="5"/>
      <c r="E15" s="5"/>
      <c r="F15" s="5"/>
      <c r="G15" s="5">
        <v>4.3</v>
      </c>
    </row>
    <row r="16" spans="1:7" x14ac:dyDescent="0.3">
      <c r="A16" s="4">
        <v>1008</v>
      </c>
      <c r="B16" s="5"/>
      <c r="C16" s="5"/>
      <c r="D16" s="5"/>
      <c r="E16" s="5">
        <v>4.4000000000000004</v>
      </c>
      <c r="F16" s="5"/>
      <c r="G16" s="5">
        <v>4.4000000000000004</v>
      </c>
    </row>
    <row r="17" spans="1:7" x14ac:dyDescent="0.3">
      <c r="A17" s="4">
        <v>1020</v>
      </c>
      <c r="B17" s="5"/>
      <c r="C17" s="5"/>
      <c r="D17" s="5"/>
      <c r="E17" s="5">
        <v>4.4000000000000004</v>
      </c>
      <c r="F17" s="5"/>
      <c r="G17" s="5">
        <v>4.4000000000000004</v>
      </c>
    </row>
    <row r="18" spans="1:7" x14ac:dyDescent="0.3">
      <c r="A18" s="4">
        <v>1001</v>
      </c>
      <c r="B18" s="5"/>
      <c r="C18" s="5">
        <v>4.5</v>
      </c>
      <c r="D18" s="5"/>
      <c r="E18" s="5"/>
      <c r="F18" s="5"/>
      <c r="G18" s="5">
        <v>4.5</v>
      </c>
    </row>
    <row r="19" spans="1:7" x14ac:dyDescent="0.3">
      <c r="A19" s="4">
        <v>1019</v>
      </c>
      <c r="B19" s="5">
        <v>4.5</v>
      </c>
      <c r="C19" s="5"/>
      <c r="D19" s="5"/>
      <c r="E19" s="5"/>
      <c r="F19" s="5"/>
      <c r="G19" s="5">
        <v>4.5</v>
      </c>
    </row>
    <row r="20" spans="1:7" x14ac:dyDescent="0.3">
      <c r="A20" s="4">
        <v>1007</v>
      </c>
      <c r="B20" s="5">
        <v>4.5999999999999996</v>
      </c>
      <c r="C20" s="5"/>
      <c r="D20" s="5"/>
      <c r="E20" s="5"/>
      <c r="F20" s="5"/>
      <c r="G20" s="5">
        <v>4.5999999999999996</v>
      </c>
    </row>
    <row r="21" spans="1:7" x14ac:dyDescent="0.3">
      <c r="A21" s="4">
        <v>1014</v>
      </c>
      <c r="B21" s="5"/>
      <c r="C21" s="5"/>
      <c r="D21" s="5">
        <v>4.5999999999999996</v>
      </c>
      <c r="E21" s="5"/>
      <c r="F21" s="5"/>
      <c r="G21" s="5">
        <v>4.5999999999999996</v>
      </c>
    </row>
    <row r="22" spans="1:7" x14ac:dyDescent="0.3">
      <c r="A22" s="4">
        <v>1017</v>
      </c>
      <c r="B22" s="5"/>
      <c r="C22" s="5">
        <v>4.7</v>
      </c>
      <c r="D22" s="5"/>
      <c r="E22" s="5"/>
      <c r="F22" s="5"/>
      <c r="G22" s="5">
        <v>4.7</v>
      </c>
    </row>
    <row r="23" spans="1:7" x14ac:dyDescent="0.3">
      <c r="A23" s="4">
        <v>1004</v>
      </c>
      <c r="B23" s="5"/>
      <c r="C23" s="5"/>
      <c r="D23" s="5"/>
      <c r="E23" s="5">
        <v>4.7</v>
      </c>
      <c r="F23" s="5"/>
      <c r="G23" s="5">
        <v>4.7</v>
      </c>
    </row>
    <row r="24" spans="1:7" x14ac:dyDescent="0.3">
      <c r="A24" s="4">
        <v>1009</v>
      </c>
      <c r="B24" s="5"/>
      <c r="C24" s="5">
        <v>4.8</v>
      </c>
      <c r="D24" s="5"/>
      <c r="E24" s="5"/>
      <c r="F24" s="5"/>
      <c r="G24" s="5">
        <v>4.8</v>
      </c>
    </row>
    <row r="25" spans="1:7" x14ac:dyDescent="0.3">
      <c r="A25" s="4">
        <v>1012</v>
      </c>
      <c r="B25" s="5"/>
      <c r="C25" s="5"/>
      <c r="D25" s="5"/>
      <c r="E25" s="5">
        <v>4.9000000000000004</v>
      </c>
      <c r="F25" s="5"/>
      <c r="G25" s="5">
        <v>4.9000000000000004</v>
      </c>
    </row>
    <row r="26" spans="1:7" x14ac:dyDescent="0.3">
      <c r="A26" s="4" t="s">
        <v>60</v>
      </c>
      <c r="B26" s="5">
        <v>4.2799999999999994</v>
      </c>
      <c r="C26" s="5">
        <v>4.4599999999999991</v>
      </c>
      <c r="D26" s="5">
        <v>4.0600000000000005</v>
      </c>
      <c r="E26" s="5">
        <v>4.4600000000000009</v>
      </c>
      <c r="F26" s="5"/>
      <c r="G26" s="5">
        <v>4.3150000000000004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Sales_Data</vt:lpstr>
      <vt:lpstr>Exercise</vt:lpstr>
      <vt:lpstr>Exercise_1a</vt:lpstr>
      <vt:lpstr>Exercise_1b</vt:lpstr>
      <vt:lpstr>Exercise_1c</vt:lpstr>
      <vt:lpstr>Exercise_1d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Kasaiah Antonio</cp:lastModifiedBy>
  <cp:revision/>
  <dcterms:created xsi:type="dcterms:W3CDTF">2026-04-07T19:25:39Z</dcterms:created>
  <dcterms:modified xsi:type="dcterms:W3CDTF">2026-04-09T16:14:06Z</dcterms:modified>
  <cp:category/>
  <cp:contentStatus/>
</cp:coreProperties>
</file>